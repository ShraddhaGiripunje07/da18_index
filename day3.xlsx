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18\excel\"/>
    </mc:Choice>
  </mc:AlternateContent>
  <xr:revisionPtr revIDLastSave="0" documentId="13_ncr:1_{24787AD5-3F4C-43ED-80DD-C5F39886F275}" xr6:coauthVersionLast="47" xr6:coauthVersionMax="47" xr10:uidLastSave="{00000000-0000-0000-0000-000000000000}"/>
  <bookViews>
    <workbookView xWindow="1776" yWindow="1776" windowWidth="20844" windowHeight="8880" activeTab="1" xr2:uid="{00000000-000D-0000-FFFF-FFFF00000000}"/>
  </bookViews>
  <sheets>
    <sheet name="basic maths" sheetId="1" r:id="rId1"/>
    <sheet name="data paint" sheetId="2" r:id="rId2"/>
    <sheet name="Sheet2" sheetId="4" r:id="rId3"/>
    <sheet name="rankeq and av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2" l="1"/>
  <c r="L15" i="5"/>
  <c r="K15" i="5"/>
  <c r="J15" i="5"/>
  <c r="I15" i="5"/>
  <c r="H15" i="5"/>
  <c r="G15" i="5"/>
  <c r="L13" i="5"/>
  <c r="K13" i="5"/>
  <c r="J13" i="5"/>
  <c r="I13" i="5"/>
  <c r="H13" i="5"/>
  <c r="G13" i="5"/>
  <c r="J27" i="5" s="1"/>
  <c r="L12" i="5"/>
  <c r="K12" i="5"/>
  <c r="J12" i="5"/>
  <c r="I12" i="5"/>
  <c r="H12" i="5"/>
  <c r="G12" i="5"/>
  <c r="L11" i="5"/>
  <c r="J30" i="5" s="1"/>
  <c r="K11" i="5"/>
  <c r="K14" i="5" s="1"/>
  <c r="J11" i="5"/>
  <c r="J14" i="5" s="1"/>
  <c r="I11" i="5"/>
  <c r="I14" i="5" s="1"/>
  <c r="H11" i="5"/>
  <c r="J26" i="5" s="1"/>
  <c r="G11" i="5"/>
  <c r="J25" i="5" s="1"/>
  <c r="L15" i="4"/>
  <c r="K15" i="4"/>
  <c r="J15" i="4"/>
  <c r="I15" i="4"/>
  <c r="H15" i="4"/>
  <c r="G15" i="4"/>
  <c r="M15" i="4" s="1"/>
  <c r="L13" i="4"/>
  <c r="K13" i="4"/>
  <c r="J13" i="4"/>
  <c r="I13" i="4"/>
  <c r="H13" i="4"/>
  <c r="G13" i="4"/>
  <c r="J27" i="4" s="1"/>
  <c r="L12" i="4"/>
  <c r="K12" i="4"/>
  <c r="J12" i="4"/>
  <c r="I12" i="4"/>
  <c r="H12" i="4"/>
  <c r="G12" i="4"/>
  <c r="L11" i="4"/>
  <c r="J30" i="4" s="1"/>
  <c r="K11" i="4"/>
  <c r="K14" i="4" s="1"/>
  <c r="J11" i="4"/>
  <c r="J28" i="4" s="1"/>
  <c r="I11" i="4"/>
  <c r="H11" i="4"/>
  <c r="J26" i="4" s="1"/>
  <c r="G11" i="4"/>
  <c r="J25" i="4" s="1"/>
  <c r="O7" i="1"/>
  <c r="G10" i="1"/>
  <c r="G9" i="1"/>
  <c r="G8" i="1"/>
  <c r="G6" i="1"/>
  <c r="G11" i="2"/>
  <c r="G14" i="2" s="1"/>
  <c r="M14" i="2" s="1"/>
  <c r="H15" i="2"/>
  <c r="I15" i="2"/>
  <c r="J15" i="2"/>
  <c r="K15" i="2"/>
  <c r="L15" i="2"/>
  <c r="G15" i="2"/>
  <c r="H13" i="2"/>
  <c r="I13" i="2"/>
  <c r="J13" i="2"/>
  <c r="K13" i="2"/>
  <c r="L13" i="2"/>
  <c r="G13" i="2"/>
  <c r="H12" i="2"/>
  <c r="I12" i="2"/>
  <c r="J12" i="2"/>
  <c r="K12" i="2"/>
  <c r="L12" i="2"/>
  <c r="G12" i="2"/>
  <c r="H11" i="2"/>
  <c r="H14" i="2" s="1"/>
  <c r="I11" i="2"/>
  <c r="I14" i="2" s="1"/>
  <c r="J11" i="2"/>
  <c r="J14" i="2" s="1"/>
  <c r="K11" i="2"/>
  <c r="K14" i="2" s="1"/>
  <c r="L11" i="2"/>
  <c r="L14" i="2" s="1"/>
  <c r="O9" i="1"/>
  <c r="O8" i="1"/>
  <c r="O6" i="1"/>
  <c r="O5" i="1"/>
  <c r="G7" i="1"/>
  <c r="M15" i="2" l="1"/>
  <c r="M12" i="2"/>
  <c r="M11" i="2"/>
  <c r="G14" i="5"/>
  <c r="H14" i="4"/>
  <c r="M12" i="5"/>
  <c r="H37" i="2"/>
  <c r="H14" i="5"/>
  <c r="M15" i="5"/>
  <c r="J27" i="2"/>
  <c r="J26" i="2"/>
  <c r="L14" i="5"/>
  <c r="M12" i="4"/>
  <c r="G14" i="4"/>
  <c r="K30" i="5"/>
  <c r="L30" i="5" s="1"/>
  <c r="K27" i="5"/>
  <c r="L27" i="5" s="1"/>
  <c r="J28" i="5"/>
  <c r="M11" i="5"/>
  <c r="K26" i="5"/>
  <c r="L26" i="5" s="1"/>
  <c r="M13" i="5"/>
  <c r="J29" i="5"/>
  <c r="K25" i="5"/>
  <c r="L25" i="5" s="1"/>
  <c r="K27" i="4"/>
  <c r="L27" i="4" s="1"/>
  <c r="L14" i="4"/>
  <c r="M11" i="4"/>
  <c r="K30" i="4"/>
  <c r="L30" i="4" s="1"/>
  <c r="K28" i="4"/>
  <c r="L28" i="4" s="1"/>
  <c r="M13" i="4"/>
  <c r="I14" i="4"/>
  <c r="J14" i="4"/>
  <c r="K25" i="4"/>
  <c r="L25" i="4" s="1"/>
  <c r="K26" i="4"/>
  <c r="L26" i="4" s="1"/>
  <c r="J29" i="4"/>
  <c r="J25" i="2"/>
  <c r="J28" i="2"/>
  <c r="J29" i="2"/>
  <c r="J30" i="2"/>
  <c r="M13" i="2"/>
  <c r="M14" i="5" l="1"/>
  <c r="K25" i="2"/>
  <c r="L25" i="2" s="1"/>
  <c r="J31" i="2"/>
  <c r="K26" i="2"/>
  <c r="L26" i="2" s="1"/>
  <c r="K27" i="2"/>
  <c r="L27" i="2" s="1"/>
  <c r="N30" i="5"/>
  <c r="K29" i="5"/>
  <c r="L29" i="5" s="1"/>
  <c r="K28" i="5"/>
  <c r="L28" i="5" s="1"/>
  <c r="M14" i="4"/>
  <c r="K29" i="4"/>
  <c r="L29" i="4" s="1"/>
  <c r="N30" i="4"/>
  <c r="K30" i="2"/>
  <c r="L30" i="2" s="1"/>
  <c r="N30" i="2" s="1"/>
  <c r="K29" i="2"/>
  <c r="L29" i="2" s="1"/>
  <c r="K28" i="2"/>
  <c r="L28" i="2" s="1"/>
  <c r="H36" i="2" l="1"/>
  <c r="N29" i="2"/>
  <c r="O28" i="5"/>
  <c r="N28" i="5"/>
  <c r="M28" i="5"/>
  <c r="H36" i="5"/>
  <c r="O30" i="5"/>
  <c r="H35" i="5"/>
  <c r="H34" i="5"/>
  <c r="M30" i="5"/>
  <c r="O25" i="5"/>
  <c r="N25" i="5"/>
  <c r="M25" i="5"/>
  <c r="O26" i="5"/>
  <c r="N26" i="5"/>
  <c r="M26" i="5"/>
  <c r="O27" i="5"/>
  <c r="N27" i="5"/>
  <c r="M27" i="5"/>
  <c r="O29" i="5"/>
  <c r="N29" i="5"/>
  <c r="M29" i="5"/>
  <c r="N28" i="2"/>
  <c r="N26" i="2"/>
  <c r="O29" i="4"/>
  <c r="N29" i="4"/>
  <c r="M29" i="4"/>
  <c r="H36" i="4"/>
  <c r="N25" i="4"/>
  <c r="M25" i="4"/>
  <c r="O26" i="4"/>
  <c r="N26" i="4"/>
  <c r="H34" i="4"/>
  <c r="M26" i="4"/>
  <c r="O25" i="4"/>
  <c r="O30" i="4"/>
  <c r="O28" i="4"/>
  <c r="M28" i="4"/>
  <c r="N28" i="4"/>
  <c r="O27" i="4"/>
  <c r="M27" i="4"/>
  <c r="H35" i="4"/>
  <c r="M30" i="4"/>
  <c r="N27" i="4"/>
  <c r="O25" i="2"/>
  <c r="N27" i="2"/>
  <c r="M26" i="2"/>
  <c r="M28" i="2"/>
  <c r="M29" i="2"/>
  <c r="M30" i="2"/>
  <c r="M27" i="2"/>
  <c r="O26" i="2"/>
  <c r="O28" i="2"/>
  <c r="O29" i="2"/>
  <c r="O30" i="2"/>
  <c r="O27" i="2"/>
  <c r="N25" i="2"/>
  <c r="M25" i="2"/>
  <c r="H34" i="2"/>
  <c r="H35" i="2"/>
</calcChain>
</file>

<file path=xl/sharedStrings.xml><?xml version="1.0" encoding="utf-8"?>
<sst xmlns="http://schemas.openxmlformats.org/spreadsheetml/2006/main" count="191" uniqueCount="43">
  <si>
    <t>val1</t>
  </si>
  <si>
    <t>val2</t>
  </si>
  <si>
    <t>operation</t>
  </si>
  <si>
    <t>output</t>
  </si>
  <si>
    <t>add</t>
  </si>
  <si>
    <t>sub</t>
  </si>
  <si>
    <t>mul</t>
  </si>
  <si>
    <t>div</t>
  </si>
  <si>
    <t>mod</t>
  </si>
  <si>
    <t>avg</t>
  </si>
  <si>
    <t>info</t>
  </si>
  <si>
    <t>price</t>
  </si>
  <si>
    <t>lit</t>
  </si>
  <si>
    <t>margin</t>
  </si>
  <si>
    <t>rating</t>
  </si>
  <si>
    <t>spray</t>
  </si>
  <si>
    <t>oil</t>
  </si>
  <si>
    <t>plastic</t>
  </si>
  <si>
    <t>acrylic</t>
  </si>
  <si>
    <t>exterior</t>
  </si>
  <si>
    <t>deco</t>
  </si>
  <si>
    <t>coverage(sq ft)</t>
  </si>
  <si>
    <t>paint data</t>
  </si>
  <si>
    <t>total</t>
  </si>
  <si>
    <t>salesdata</t>
  </si>
  <si>
    <t>user</t>
  </si>
  <si>
    <t>user1</t>
  </si>
  <si>
    <t xml:space="preserve">painttype </t>
  </si>
  <si>
    <t>qty</t>
  </si>
  <si>
    <t>fixdata</t>
  </si>
  <si>
    <t>tax value</t>
  </si>
  <si>
    <t>reminde formula for tax value=total * use constant$12%</t>
  </si>
  <si>
    <t>to find tax value=total*1/100</t>
  </si>
  <si>
    <t xml:space="preserve"> </t>
  </si>
  <si>
    <t>min</t>
  </si>
  <si>
    <t>max</t>
  </si>
  <si>
    <t>average</t>
  </si>
  <si>
    <t xml:space="preserve"> rank des</t>
  </si>
  <si>
    <t>rank asc</t>
  </si>
  <si>
    <t>rank eq</t>
  </si>
  <si>
    <t>sum product</t>
  </si>
  <si>
    <t xml:space="preserve">  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</si>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</sst>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O10"/>
  <sheetViews>
    <sheetView zoomScale="102" workbookViewId="0">
      <selection activeCell="P7" sqref="P7"/>
    </sheetView>
  </sheetViews>
  <sheetFormatPr defaultRowHeight="14.4" x14ac:dyDescent="0.3"/>
  <sheetData>
    <row r="4" spans="4:15" x14ac:dyDescent="0.3">
      <c r="D4" t="s">
        <v>0</v>
      </c>
      <c r="E4" t="s">
        <v>1</v>
      </c>
      <c r="F4" t="s">
        <v>2</v>
      </c>
      <c r="G4" t="s">
        <v>3</v>
      </c>
      <c r="L4" t="s">
        <v>0</v>
      </c>
      <c r="M4" t="s">
        <v>1</v>
      </c>
      <c r="N4" t="s">
        <v>2</v>
      </c>
      <c r="O4" t="s">
        <v>3</v>
      </c>
    </row>
    <row r="5" spans="4:15" x14ac:dyDescent="0.3">
      <c r="D5">
        <v>2</v>
      </c>
      <c r="E5">
        <v>5</v>
      </c>
      <c r="F5" t="s">
        <v>4</v>
      </c>
      <c r="G5">
        <v>7</v>
      </c>
      <c r="L5">
        <v>2</v>
      </c>
      <c r="M5">
        <v>7</v>
      </c>
      <c r="N5" t="s">
        <v>4</v>
      </c>
      <c r="O5">
        <f>L5+M5</f>
        <v>9</v>
      </c>
    </row>
    <row r="6" spans="4:15" x14ac:dyDescent="0.3">
      <c r="D6">
        <v>10</v>
      </c>
      <c r="E6">
        <v>5</v>
      </c>
      <c r="F6" t="s">
        <v>5</v>
      </c>
      <c r="G6">
        <f>10-5</f>
        <v>5</v>
      </c>
      <c r="L6">
        <v>10</v>
      </c>
      <c r="M6">
        <v>4</v>
      </c>
      <c r="N6" t="s">
        <v>5</v>
      </c>
      <c r="O6">
        <f>L6-M6</f>
        <v>6</v>
      </c>
    </row>
    <row r="7" spans="4:15" x14ac:dyDescent="0.3">
      <c r="D7">
        <v>2</v>
      </c>
      <c r="E7">
        <v>5</v>
      </c>
      <c r="F7" t="s">
        <v>6</v>
      </c>
      <c r="G7">
        <f>2*5</f>
        <v>10</v>
      </c>
      <c r="L7">
        <v>12</v>
      </c>
      <c r="M7">
        <v>45</v>
      </c>
      <c r="N7" t="s">
        <v>6</v>
      </c>
      <c r="O7">
        <f>L7*M7</f>
        <v>540</v>
      </c>
    </row>
    <row r="8" spans="4:15" x14ac:dyDescent="0.3">
      <c r="D8">
        <v>15</v>
      </c>
      <c r="E8">
        <v>3</v>
      </c>
      <c r="F8" t="s">
        <v>7</v>
      </c>
      <c r="G8">
        <f>15/3</f>
        <v>5</v>
      </c>
      <c r="L8">
        <v>42.4</v>
      </c>
      <c r="M8">
        <v>32.340000000000003</v>
      </c>
      <c r="N8" t="s">
        <v>7</v>
      </c>
      <c r="O8">
        <f>L8/M8</f>
        <v>1.3110698824984537</v>
      </c>
    </row>
    <row r="9" spans="4:15" x14ac:dyDescent="0.3">
      <c r="D9">
        <v>15</v>
      </c>
      <c r="E9">
        <v>3</v>
      </c>
      <c r="F9" t="s">
        <v>8</v>
      </c>
      <c r="G9">
        <f>MOD(D9,E9)</f>
        <v>0</v>
      </c>
      <c r="L9">
        <v>34</v>
      </c>
      <c r="M9">
        <v>2.5</v>
      </c>
      <c r="N9" t="s">
        <v>8</v>
      </c>
      <c r="O9">
        <f>MOD(L9,M9)</f>
        <v>1.5</v>
      </c>
    </row>
    <row r="10" spans="4:15" x14ac:dyDescent="0.3">
      <c r="D10">
        <v>15</v>
      </c>
      <c r="E10">
        <v>30</v>
      </c>
      <c r="F10" t="s">
        <v>9</v>
      </c>
      <c r="G10">
        <f>(15+30)/2</f>
        <v>22.5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1324-BA67-4D81-B15B-66D7C682EC3E}">
  <dimension ref="F6:X38"/>
  <sheetViews>
    <sheetView tabSelected="1" topLeftCell="E9" workbookViewId="0">
      <selection activeCell="O12" sqref="O12"/>
    </sheetView>
  </sheetViews>
  <sheetFormatPr defaultRowHeight="14.4" x14ac:dyDescent="0.3"/>
  <cols>
    <col min="6" max="6" width="13.44140625" customWidth="1"/>
  </cols>
  <sheetData>
    <row r="6" spans="6:24" x14ac:dyDescent="0.3">
      <c r="G6" t="s">
        <v>22</v>
      </c>
      <c r="J6">
        <v>5</v>
      </c>
    </row>
    <row r="10" spans="6:24" x14ac:dyDescent="0.3">
      <c r="F10" t="s">
        <v>10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23</v>
      </c>
    </row>
    <row r="11" spans="6:24" x14ac:dyDescent="0.3">
      <c r="F11" t="s">
        <v>11</v>
      </c>
      <c r="G11">
        <f ca="1">RANDBETWEEN(100,500)</f>
        <v>187</v>
      </c>
      <c r="H11">
        <f t="shared" ref="H11:L11" ca="1" si="0">RANDBETWEEN(100,500)</f>
        <v>291</v>
      </c>
      <c r="I11">
        <f t="shared" ca="1" si="0"/>
        <v>163</v>
      </c>
      <c r="J11">
        <f t="shared" ca="1" si="0"/>
        <v>167</v>
      </c>
      <c r="K11">
        <f t="shared" ca="1" si="0"/>
        <v>330</v>
      </c>
      <c r="L11">
        <f t="shared" ca="1" si="0"/>
        <v>399</v>
      </c>
      <c r="M11">
        <f ca="1">SUM(G11:L11)</f>
        <v>1537</v>
      </c>
    </row>
    <row r="12" spans="6:24" x14ac:dyDescent="0.3">
      <c r="F12" t="s">
        <v>12</v>
      </c>
      <c r="G12">
        <f ca="1">RANDBETWEEN(5,10)</f>
        <v>7</v>
      </c>
      <c r="H12">
        <f t="shared" ref="H12:L12" ca="1" si="1">RANDBETWEEN(5,10)</f>
        <v>7</v>
      </c>
      <c r="I12">
        <f t="shared" ca="1" si="1"/>
        <v>6</v>
      </c>
      <c r="J12">
        <f t="shared" ca="1" si="1"/>
        <v>5</v>
      </c>
      <c r="K12">
        <f t="shared" ca="1" si="1"/>
        <v>9</v>
      </c>
      <c r="L12">
        <f t="shared" ca="1" si="1"/>
        <v>5</v>
      </c>
      <c r="M12">
        <f ca="1">SUM(G12:L12)</f>
        <v>39</v>
      </c>
    </row>
    <row r="13" spans="6:24" x14ac:dyDescent="0.3">
      <c r="F13" t="s">
        <v>21</v>
      </c>
      <c r="G13">
        <f ca="1">RANDBETWEEN(10,15)</f>
        <v>14</v>
      </c>
      <c r="H13">
        <f t="shared" ref="H13:L13" ca="1" si="2">RANDBETWEEN(10,15)</f>
        <v>12</v>
      </c>
      <c r="I13">
        <f t="shared" ca="1" si="2"/>
        <v>11</v>
      </c>
      <c r="J13">
        <f t="shared" ca="1" si="2"/>
        <v>10</v>
      </c>
      <c r="K13">
        <f t="shared" ca="1" si="2"/>
        <v>10</v>
      </c>
      <c r="L13">
        <f t="shared" ca="1" si="2"/>
        <v>11</v>
      </c>
      <c r="M13">
        <f t="shared" ref="M12:M15" ca="1" si="3">SUM(G13:L13)</f>
        <v>68</v>
      </c>
    </row>
    <row r="14" spans="6:24" x14ac:dyDescent="0.3">
      <c r="F14" t="s">
        <v>13</v>
      </c>
      <c r="G14">
        <f ca="1">($J$6/100)*G11</f>
        <v>9.35</v>
      </c>
      <c r="H14">
        <f t="shared" ref="H14:L14" ca="1" si="4">($J$6/100)*H11</f>
        <v>14.55</v>
      </c>
      <c r="I14">
        <f t="shared" ca="1" si="4"/>
        <v>8.15</v>
      </c>
      <c r="J14">
        <f t="shared" ca="1" si="4"/>
        <v>8.35</v>
      </c>
      <c r="K14">
        <f t="shared" ca="1" si="4"/>
        <v>16.5</v>
      </c>
      <c r="L14">
        <f t="shared" ca="1" si="4"/>
        <v>19.950000000000003</v>
      </c>
      <c r="M14">
        <f ca="1">SUM(G14:L14)</f>
        <v>76.849999999999994</v>
      </c>
      <c r="R14" t="s">
        <v>10</v>
      </c>
      <c r="S14" t="s">
        <v>15</v>
      </c>
      <c r="T14" t="s">
        <v>16</v>
      </c>
      <c r="U14" t="s">
        <v>17</v>
      </c>
      <c r="V14" t="s">
        <v>18</v>
      </c>
      <c r="W14" t="s">
        <v>19</v>
      </c>
      <c r="X14" t="s">
        <v>20</v>
      </c>
    </row>
    <row r="15" spans="6:24" x14ac:dyDescent="0.3">
      <c r="F15" t="s">
        <v>14</v>
      </c>
      <c r="G15">
        <f ca="1">RANDBETWEEN(1,5)</f>
        <v>2</v>
      </c>
      <c r="H15">
        <f t="shared" ref="H15:L15" ca="1" si="5">RANDBETWEEN(1,5)</f>
        <v>4</v>
      </c>
      <c r="I15">
        <f t="shared" ca="1" si="5"/>
        <v>2</v>
      </c>
      <c r="J15">
        <f t="shared" ca="1" si="5"/>
        <v>1</v>
      </c>
      <c r="K15">
        <f t="shared" ca="1" si="5"/>
        <v>3</v>
      </c>
      <c r="L15">
        <f t="shared" ca="1" si="5"/>
        <v>2</v>
      </c>
      <c r="M15">
        <f ca="1">SUM(G15:L15)</f>
        <v>14</v>
      </c>
      <c r="R15" t="s">
        <v>11</v>
      </c>
      <c r="S15">
        <v>305</v>
      </c>
      <c r="T15">
        <v>474</v>
      </c>
      <c r="U15">
        <v>410</v>
      </c>
      <c r="V15">
        <v>113</v>
      </c>
      <c r="W15">
        <v>455</v>
      </c>
      <c r="X15">
        <v>228</v>
      </c>
    </row>
    <row r="16" spans="6:24" x14ac:dyDescent="0.3">
      <c r="R16" t="s">
        <v>12</v>
      </c>
      <c r="S16">
        <v>6</v>
      </c>
      <c r="T16">
        <v>7</v>
      </c>
      <c r="U16">
        <v>9</v>
      </c>
      <c r="V16">
        <v>9</v>
      </c>
      <c r="W16">
        <v>5</v>
      </c>
      <c r="X16">
        <v>7</v>
      </c>
    </row>
    <row r="17" spans="6:24" x14ac:dyDescent="0.3">
      <c r="F17" t="s">
        <v>28</v>
      </c>
      <c r="G17">
        <v>5</v>
      </c>
      <c r="H17">
        <v>6</v>
      </c>
      <c r="I17">
        <v>7</v>
      </c>
      <c r="J17">
        <v>4</v>
      </c>
      <c r="K17">
        <v>8</v>
      </c>
      <c r="L17">
        <v>2</v>
      </c>
      <c r="R17" t="s">
        <v>21</v>
      </c>
      <c r="S17">
        <v>11</v>
      </c>
      <c r="T17">
        <v>11</v>
      </c>
      <c r="U17">
        <v>11</v>
      </c>
      <c r="V17">
        <v>13</v>
      </c>
      <c r="W17">
        <v>11</v>
      </c>
      <c r="X17">
        <v>14</v>
      </c>
    </row>
    <row r="18" spans="6:24" x14ac:dyDescent="0.3">
      <c r="R18" t="s">
        <v>13</v>
      </c>
      <c r="S18">
        <v>15.25</v>
      </c>
      <c r="T18">
        <v>23.700000000000003</v>
      </c>
      <c r="U18">
        <v>20.5</v>
      </c>
      <c r="V18">
        <v>5.65</v>
      </c>
      <c r="W18">
        <v>22.75</v>
      </c>
      <c r="X18">
        <v>11.4</v>
      </c>
    </row>
    <row r="19" spans="6:24" x14ac:dyDescent="0.3">
      <c r="R19" t="s">
        <v>14</v>
      </c>
      <c r="S19">
        <v>5</v>
      </c>
      <c r="T19">
        <v>1</v>
      </c>
      <c r="U19">
        <v>2</v>
      </c>
      <c r="V19">
        <v>5</v>
      </c>
      <c r="W19">
        <v>2</v>
      </c>
      <c r="X19">
        <v>5</v>
      </c>
    </row>
    <row r="21" spans="6:24" x14ac:dyDescent="0.3">
      <c r="O21" s="2" t="s">
        <v>32</v>
      </c>
      <c r="P21" s="2"/>
      <c r="Q21" s="2"/>
      <c r="R21" s="2"/>
      <c r="S21" s="2"/>
      <c r="T21" s="2"/>
      <c r="U21" s="2"/>
    </row>
    <row r="22" spans="6:24" x14ac:dyDescent="0.3">
      <c r="G22" t="s">
        <v>24</v>
      </c>
      <c r="L22" t="s">
        <v>29</v>
      </c>
      <c r="M22" s="1">
        <v>0.12</v>
      </c>
      <c r="O22" s="2" t="s">
        <v>31</v>
      </c>
      <c r="P22" s="2"/>
      <c r="Q22" s="2"/>
      <c r="R22" s="2"/>
      <c r="S22" s="2"/>
      <c r="T22" s="2"/>
      <c r="U22" s="2"/>
    </row>
    <row r="24" spans="6:24" x14ac:dyDescent="0.3">
      <c r="G24" t="s">
        <v>25</v>
      </c>
      <c r="H24" t="s">
        <v>27</v>
      </c>
      <c r="I24" t="s">
        <v>28</v>
      </c>
      <c r="J24" t="s">
        <v>23</v>
      </c>
      <c r="K24" t="s">
        <v>30</v>
      </c>
      <c r="L24" t="s">
        <v>23</v>
      </c>
      <c r="M24" t="s">
        <v>37</v>
      </c>
      <c r="N24" t="s">
        <v>38</v>
      </c>
      <c r="O24" t="s">
        <v>39</v>
      </c>
    </row>
    <row r="25" spans="6:24" x14ac:dyDescent="0.3">
      <c r="G25" t="s">
        <v>26</v>
      </c>
      <c r="H25" t="s">
        <v>15</v>
      </c>
      <c r="I25">
        <v>5</v>
      </c>
      <c r="J25">
        <f ca="1">I25*G11</f>
        <v>935</v>
      </c>
      <c r="K25">
        <f ca="1">J25*M$22</f>
        <v>112.2</v>
      </c>
      <c r="L25">
        <f ca="1">J25+K25</f>
        <v>1047.2</v>
      </c>
      <c r="M25">
        <f ca="1">_xlfn.RANK.AVG(L25,$L$25:$L$30,0)</f>
        <v>4</v>
      </c>
      <c r="N25">
        <f ca="1">_xlfn.RANK.AVG(L25,L25:L30,1)</f>
        <v>3</v>
      </c>
      <c r="O25">
        <f ca="1">_xlfn.RANK.EQ(L25,$L$25:$L$30,0)</f>
        <v>4</v>
      </c>
    </row>
    <row r="26" spans="6:24" x14ac:dyDescent="0.3">
      <c r="G26" t="s">
        <v>26</v>
      </c>
      <c r="H26" t="s">
        <v>16</v>
      </c>
      <c r="I26">
        <v>6</v>
      </c>
      <c r="J26">
        <f ca="1">I26*H11</f>
        <v>1746</v>
      </c>
      <c r="K26">
        <f ca="1">J26*M$22</f>
        <v>209.51999999999998</v>
      </c>
      <c r="L26">
        <f ca="1">J26+K26</f>
        <v>1955.52</v>
      </c>
      <c r="M26">
        <f t="shared" ref="M26:M30" ca="1" si="6">_xlfn.RANK.AVG(L26,$L$25:$L$30,0)</f>
        <v>2</v>
      </c>
      <c r="N26">
        <f t="shared" ref="N26:N30" ca="1" si="7">_xlfn.RANK.AVG(L26,L26:L31,1)</f>
        <v>4</v>
      </c>
      <c r="O26">
        <f t="shared" ref="O26:O30" ca="1" si="8">_xlfn.RANK.EQ(L26,$L$25:$L$30,0)</f>
        <v>2</v>
      </c>
      <c r="R26" t="s">
        <v>33</v>
      </c>
    </row>
    <row r="27" spans="6:24" x14ac:dyDescent="0.3">
      <c r="G27" t="s">
        <v>26</v>
      </c>
      <c r="H27" t="s">
        <v>17</v>
      </c>
      <c r="I27">
        <v>7</v>
      </c>
      <c r="J27">
        <f ca="1">I27*I11</f>
        <v>1141</v>
      </c>
      <c r="K27">
        <f ca="1">J27*M$22</f>
        <v>136.91999999999999</v>
      </c>
      <c r="L27">
        <f ca="1">J27+K27</f>
        <v>1277.92</v>
      </c>
      <c r="M27">
        <f t="shared" ca="1" si="6"/>
        <v>3</v>
      </c>
      <c r="N27">
        <f t="shared" ca="1" si="7"/>
        <v>3</v>
      </c>
      <c r="O27">
        <f t="shared" ca="1" si="8"/>
        <v>3</v>
      </c>
    </row>
    <row r="28" spans="6:24" x14ac:dyDescent="0.3">
      <c r="G28" t="s">
        <v>26</v>
      </c>
      <c r="H28" t="s">
        <v>18</v>
      </c>
      <c r="I28">
        <v>4</v>
      </c>
      <c r="J28">
        <f ca="1">I28*J11</f>
        <v>668</v>
      </c>
      <c r="K28">
        <f t="shared" ref="K28:K30" ca="1" si="9">J28*M$22</f>
        <v>80.16</v>
      </c>
      <c r="L28">
        <f t="shared" ref="L28:L30" ca="1" si="10">J28+K28</f>
        <v>748.16</v>
      </c>
      <c r="M28">
        <f t="shared" ca="1" si="6"/>
        <v>6</v>
      </c>
      <c r="N28">
        <f t="shared" ca="1" si="7"/>
        <v>1</v>
      </c>
      <c r="O28">
        <f t="shared" ca="1" si="8"/>
        <v>6</v>
      </c>
    </row>
    <row r="29" spans="6:24" x14ac:dyDescent="0.3">
      <c r="G29" t="s">
        <v>26</v>
      </c>
      <c r="H29" t="s">
        <v>19</v>
      </c>
      <c r="I29">
        <v>8</v>
      </c>
      <c r="J29">
        <f ca="1">I29*K11</f>
        <v>2640</v>
      </c>
      <c r="K29">
        <f t="shared" ca="1" si="9"/>
        <v>316.8</v>
      </c>
      <c r="L29">
        <f t="shared" ca="1" si="10"/>
        <v>2956.8</v>
      </c>
      <c r="M29">
        <f t="shared" ca="1" si="6"/>
        <v>1</v>
      </c>
      <c r="N29">
        <f t="shared" ca="1" si="7"/>
        <v>2</v>
      </c>
      <c r="O29">
        <f t="shared" ca="1" si="8"/>
        <v>1</v>
      </c>
    </row>
    <row r="30" spans="6:24" x14ac:dyDescent="0.3">
      <c r="G30" t="s">
        <v>26</v>
      </c>
      <c r="H30" t="s">
        <v>20</v>
      </c>
      <c r="I30">
        <v>2</v>
      </c>
      <c r="J30">
        <f ca="1">I30*L11</f>
        <v>798</v>
      </c>
      <c r="K30">
        <f t="shared" ca="1" si="9"/>
        <v>95.759999999999991</v>
      </c>
      <c r="L30">
        <f t="shared" ca="1" si="10"/>
        <v>893.76</v>
      </c>
      <c r="M30">
        <f t="shared" ca="1" si="6"/>
        <v>5</v>
      </c>
      <c r="N30">
        <f t="shared" ca="1" si="7"/>
        <v>1</v>
      </c>
      <c r="O30">
        <f t="shared" ca="1" si="8"/>
        <v>5</v>
      </c>
    </row>
    <row r="31" spans="6:24" x14ac:dyDescent="0.3">
      <c r="J31">
        <f ca="1">SUM(J25:J30)</f>
        <v>7928</v>
      </c>
    </row>
    <row r="34" spans="7:19" x14ac:dyDescent="0.3">
      <c r="G34" t="s">
        <v>34</v>
      </c>
      <c r="H34">
        <f ca="1">MIN(L25:L30)</f>
        <v>748.16</v>
      </c>
    </row>
    <row r="35" spans="7:19" x14ac:dyDescent="0.3">
      <c r="G35" t="s">
        <v>35</v>
      </c>
      <c r="H35">
        <f ca="1">MAX(L25:L30)</f>
        <v>2956.8</v>
      </c>
      <c r="S35" t="s">
        <v>41</v>
      </c>
    </row>
    <row r="36" spans="7:19" x14ac:dyDescent="0.3">
      <c r="G36" t="s">
        <v>36</v>
      </c>
      <c r="H36">
        <f ca="1">AVERAGE(L25:L30)</f>
        <v>1479.8933333333334</v>
      </c>
    </row>
    <row r="37" spans="7:19" x14ac:dyDescent="0.3">
      <c r="G37" t="s">
        <v>40</v>
      </c>
      <c r="H37">
        <f ca="1">SUMPRODUCT(G11:L11,G17:L17)</f>
        <v>7928</v>
      </c>
      <c r="L37" t="s">
        <v>33</v>
      </c>
    </row>
    <row r="38" spans="7:19" x14ac:dyDescent="0.3">
      <c r="G38" t="s">
        <v>42</v>
      </c>
      <c r="H38">
        <f ca="1">RAND()*100</f>
        <v>48.52901636284377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DEEF-BE21-44D4-9AF1-44BDF34D96A0}">
  <dimension ref="F6:X37"/>
  <sheetViews>
    <sheetView topLeftCell="A15" workbookViewId="0">
      <selection activeCell="F26" sqref="F26"/>
    </sheetView>
  </sheetViews>
  <sheetFormatPr defaultRowHeight="14.4" x14ac:dyDescent="0.3"/>
  <cols>
    <col min="6" max="6" width="13.44140625" customWidth="1"/>
  </cols>
  <sheetData>
    <row r="6" spans="6:24" x14ac:dyDescent="0.3">
      <c r="G6" t="s">
        <v>22</v>
      </c>
      <c r="J6">
        <v>5</v>
      </c>
    </row>
    <row r="10" spans="6:24" x14ac:dyDescent="0.3">
      <c r="F10" t="s">
        <v>10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23</v>
      </c>
    </row>
    <row r="11" spans="6:24" x14ac:dyDescent="0.3">
      <c r="F11" t="s">
        <v>11</v>
      </c>
      <c r="G11">
        <f ca="1">RANDBETWEEN(100,500)</f>
        <v>320</v>
      </c>
      <c r="H11">
        <f t="shared" ref="H11:L11" ca="1" si="0">RANDBETWEEN(100,500)</f>
        <v>109</v>
      </c>
      <c r="I11">
        <f t="shared" ca="1" si="0"/>
        <v>129</v>
      </c>
      <c r="J11">
        <f t="shared" ca="1" si="0"/>
        <v>188</v>
      </c>
      <c r="K11">
        <f t="shared" ca="1" si="0"/>
        <v>500</v>
      </c>
      <c r="L11">
        <f t="shared" ca="1" si="0"/>
        <v>392</v>
      </c>
      <c r="M11">
        <f ca="1">SUM(G11:L11)</f>
        <v>1638</v>
      </c>
    </row>
    <row r="12" spans="6:24" x14ac:dyDescent="0.3">
      <c r="F12" t="s">
        <v>12</v>
      </c>
      <c r="G12">
        <f ca="1">RANDBETWEEN(5,10)</f>
        <v>10</v>
      </c>
      <c r="H12">
        <f t="shared" ref="H12:L12" ca="1" si="1">RANDBETWEEN(5,10)</f>
        <v>6</v>
      </c>
      <c r="I12">
        <f t="shared" ca="1" si="1"/>
        <v>7</v>
      </c>
      <c r="J12">
        <f t="shared" ca="1" si="1"/>
        <v>10</v>
      </c>
      <c r="K12">
        <f t="shared" ca="1" si="1"/>
        <v>5</v>
      </c>
      <c r="L12">
        <f t="shared" ca="1" si="1"/>
        <v>9</v>
      </c>
      <c r="M12">
        <f t="shared" ref="M12:M15" ca="1" si="2">SUM(G12:L12)</f>
        <v>47</v>
      </c>
    </row>
    <row r="13" spans="6:24" x14ac:dyDescent="0.3">
      <c r="F13" t="s">
        <v>21</v>
      </c>
      <c r="G13">
        <f ca="1">RANDBETWEEN(10,15)</f>
        <v>14</v>
      </c>
      <c r="H13">
        <f t="shared" ref="H13:L13" ca="1" si="3">RANDBETWEEN(10,15)</f>
        <v>10</v>
      </c>
      <c r="I13">
        <f t="shared" ca="1" si="3"/>
        <v>11</v>
      </c>
      <c r="J13">
        <f t="shared" ca="1" si="3"/>
        <v>12</v>
      </c>
      <c r="K13">
        <f t="shared" ca="1" si="3"/>
        <v>11</v>
      </c>
      <c r="L13">
        <f t="shared" ca="1" si="3"/>
        <v>13</v>
      </c>
      <c r="M13">
        <f t="shared" ca="1" si="2"/>
        <v>71</v>
      </c>
    </row>
    <row r="14" spans="6:24" x14ac:dyDescent="0.3">
      <c r="F14" t="s">
        <v>13</v>
      </c>
      <c r="G14">
        <f ca="1">($J$6/100)*G11</f>
        <v>16</v>
      </c>
      <c r="H14">
        <f t="shared" ref="H14:L14" ca="1" si="4">($J$6/100)*H11</f>
        <v>5.45</v>
      </c>
      <c r="I14">
        <f t="shared" ca="1" si="4"/>
        <v>6.45</v>
      </c>
      <c r="J14">
        <f t="shared" ca="1" si="4"/>
        <v>9.4</v>
      </c>
      <c r="K14">
        <f t="shared" ca="1" si="4"/>
        <v>25</v>
      </c>
      <c r="L14">
        <f t="shared" ca="1" si="4"/>
        <v>19.600000000000001</v>
      </c>
      <c r="M14">
        <f t="shared" ca="1" si="2"/>
        <v>81.900000000000006</v>
      </c>
      <c r="R14" t="s">
        <v>10</v>
      </c>
      <c r="S14" t="s">
        <v>15</v>
      </c>
      <c r="T14" t="s">
        <v>16</v>
      </c>
      <c r="U14" t="s">
        <v>17</v>
      </c>
      <c r="V14" t="s">
        <v>18</v>
      </c>
      <c r="W14" t="s">
        <v>19</v>
      </c>
      <c r="X14" t="s">
        <v>20</v>
      </c>
    </row>
    <row r="15" spans="6:24" x14ac:dyDescent="0.3">
      <c r="F15" t="s">
        <v>14</v>
      </c>
      <c r="G15">
        <f ca="1">RANDBETWEEN(1,5)</f>
        <v>2</v>
      </c>
      <c r="H15">
        <f t="shared" ref="H15:L15" ca="1" si="5">RANDBETWEEN(1,5)</f>
        <v>5</v>
      </c>
      <c r="I15">
        <f t="shared" ca="1" si="5"/>
        <v>4</v>
      </c>
      <c r="J15">
        <f t="shared" ca="1" si="5"/>
        <v>3</v>
      </c>
      <c r="K15">
        <f t="shared" ca="1" si="5"/>
        <v>4</v>
      </c>
      <c r="L15">
        <f t="shared" ca="1" si="5"/>
        <v>3</v>
      </c>
      <c r="M15">
        <f t="shared" ca="1" si="2"/>
        <v>21</v>
      </c>
      <c r="R15" t="s">
        <v>11</v>
      </c>
      <c r="S15">
        <v>305</v>
      </c>
      <c r="T15">
        <v>474</v>
      </c>
      <c r="U15">
        <v>410</v>
      </c>
      <c r="V15">
        <v>113</v>
      </c>
      <c r="W15">
        <v>455</v>
      </c>
      <c r="X15">
        <v>228</v>
      </c>
    </row>
    <row r="16" spans="6:24" x14ac:dyDescent="0.3">
      <c r="R16" t="s">
        <v>12</v>
      </c>
      <c r="S16">
        <v>6</v>
      </c>
      <c r="T16">
        <v>7</v>
      </c>
      <c r="U16">
        <v>9</v>
      </c>
      <c r="V16">
        <v>9</v>
      </c>
      <c r="W16">
        <v>5</v>
      </c>
      <c r="X16">
        <v>7</v>
      </c>
    </row>
    <row r="17" spans="7:24" x14ac:dyDescent="0.3">
      <c r="R17" t="s">
        <v>21</v>
      </c>
      <c r="S17">
        <v>11</v>
      </c>
      <c r="T17">
        <v>11</v>
      </c>
      <c r="U17">
        <v>11</v>
      </c>
      <c r="V17">
        <v>13</v>
      </c>
      <c r="W17">
        <v>11</v>
      </c>
      <c r="X17">
        <v>14</v>
      </c>
    </row>
    <row r="18" spans="7:24" x14ac:dyDescent="0.3">
      <c r="R18" t="s">
        <v>13</v>
      </c>
      <c r="S18">
        <v>15.25</v>
      </c>
      <c r="T18">
        <v>23.700000000000003</v>
      </c>
      <c r="U18">
        <v>20.5</v>
      </c>
      <c r="V18">
        <v>5.65</v>
      </c>
      <c r="W18">
        <v>22.75</v>
      </c>
      <c r="X18">
        <v>11.4</v>
      </c>
    </row>
    <row r="19" spans="7:24" x14ac:dyDescent="0.3">
      <c r="R19" t="s">
        <v>14</v>
      </c>
      <c r="S19">
        <v>5</v>
      </c>
      <c r="T19">
        <v>1</v>
      </c>
      <c r="U19">
        <v>2</v>
      </c>
      <c r="V19">
        <v>5</v>
      </c>
      <c r="W19">
        <v>2</v>
      </c>
      <c r="X19">
        <v>5</v>
      </c>
    </row>
    <row r="21" spans="7:24" x14ac:dyDescent="0.3">
      <c r="O21" s="2" t="s">
        <v>32</v>
      </c>
      <c r="P21" s="2"/>
      <c r="Q21" s="2"/>
      <c r="R21" s="2"/>
      <c r="S21" s="2"/>
      <c r="T21" s="2"/>
      <c r="U21" s="2"/>
    </row>
    <row r="22" spans="7:24" x14ac:dyDescent="0.3">
      <c r="G22" t="s">
        <v>24</v>
      </c>
      <c r="L22" t="s">
        <v>29</v>
      </c>
      <c r="M22" s="1">
        <v>0.12</v>
      </c>
      <c r="O22" s="2" t="s">
        <v>31</v>
      </c>
      <c r="P22" s="2"/>
      <c r="Q22" s="2"/>
      <c r="R22" s="2"/>
      <c r="S22" s="2"/>
      <c r="T22" s="2"/>
      <c r="U22" s="2"/>
    </row>
    <row r="24" spans="7:24" x14ac:dyDescent="0.3">
      <c r="G24" t="s">
        <v>25</v>
      </c>
      <c r="H24" t="s">
        <v>27</v>
      </c>
      <c r="I24" t="s">
        <v>28</v>
      </c>
      <c r="J24" t="s">
        <v>23</v>
      </c>
      <c r="K24" t="s">
        <v>30</v>
      </c>
      <c r="L24" t="s">
        <v>23</v>
      </c>
      <c r="M24" t="s">
        <v>37</v>
      </c>
      <c r="N24" t="s">
        <v>38</v>
      </c>
      <c r="O24" t="s">
        <v>39</v>
      </c>
    </row>
    <row r="25" spans="7:24" x14ac:dyDescent="0.3">
      <c r="G25" t="s">
        <v>26</v>
      </c>
      <c r="H25" t="s">
        <v>15</v>
      </c>
      <c r="I25">
        <v>5</v>
      </c>
      <c r="J25">
        <f ca="1">I25*G11</f>
        <v>1600</v>
      </c>
      <c r="K25">
        <f ca="1">J25*M$22</f>
        <v>192</v>
      </c>
      <c r="L25">
        <f ca="1">J25+K25</f>
        <v>1792</v>
      </c>
      <c r="M25">
        <f ca="1">_xlfn.RANK.AVG(L25,$L$25:$L$30,0)</f>
        <v>2</v>
      </c>
      <c r="N25">
        <f ca="1">_xlfn.RANK.AVG(L25,L25:L30,1)</f>
        <v>5</v>
      </c>
      <c r="O25">
        <f ca="1">_xlfn.RANK.EQ(L25,$L$25:$L$30,0)</f>
        <v>2</v>
      </c>
    </row>
    <row r="26" spans="7:24" x14ac:dyDescent="0.3">
      <c r="G26" t="s">
        <v>26</v>
      </c>
      <c r="H26" t="s">
        <v>16</v>
      </c>
      <c r="I26">
        <v>6</v>
      </c>
      <c r="J26">
        <f ca="1">I26*H11</f>
        <v>654</v>
      </c>
      <c r="K26">
        <f t="shared" ref="K26:K30" ca="1" si="6">J26*M$22</f>
        <v>78.48</v>
      </c>
      <c r="L26">
        <f t="shared" ref="L26:L30" ca="1" si="7">J26+K26</f>
        <v>732.48</v>
      </c>
      <c r="M26">
        <f t="shared" ref="M26:M30" ca="1" si="8">_xlfn.RANK.AVG(L26,$L$25:$L$30,0)</f>
        <v>5</v>
      </c>
      <c r="N26">
        <f t="shared" ref="N26:N30" ca="1" si="9">_xlfn.RANK.AVG(L26,L26:L31,1)</f>
        <v>2</v>
      </c>
      <c r="O26">
        <f t="shared" ref="O26:O30" ca="1" si="10">_xlfn.RANK.EQ(L26,$L$25:$L$30,0)</f>
        <v>5</v>
      </c>
      <c r="R26" t="s">
        <v>33</v>
      </c>
    </row>
    <row r="27" spans="7:24" x14ac:dyDescent="0.3">
      <c r="G27" t="s">
        <v>26</v>
      </c>
      <c r="H27" t="s">
        <v>17</v>
      </c>
      <c r="I27">
        <v>5</v>
      </c>
      <c r="J27">
        <f ca="1">I27*G13</f>
        <v>70</v>
      </c>
      <c r="K27">
        <f ca="1">J27*M$22</f>
        <v>8.4</v>
      </c>
      <c r="L27">
        <f ca="1">J27+K27</f>
        <v>78.400000000000006</v>
      </c>
      <c r="M27">
        <f t="shared" ca="1" si="8"/>
        <v>6</v>
      </c>
      <c r="N27">
        <f t="shared" ca="1" si="9"/>
        <v>1</v>
      </c>
      <c r="O27">
        <f t="shared" ca="1" si="10"/>
        <v>6</v>
      </c>
    </row>
    <row r="28" spans="7:24" x14ac:dyDescent="0.3">
      <c r="G28" t="s">
        <v>26</v>
      </c>
      <c r="H28" t="s">
        <v>18</v>
      </c>
      <c r="I28">
        <v>4</v>
      </c>
      <c r="J28">
        <f ca="1">I28*J11</f>
        <v>752</v>
      </c>
      <c r="K28">
        <f t="shared" ca="1" si="6"/>
        <v>90.24</v>
      </c>
      <c r="L28">
        <f t="shared" ca="1" si="7"/>
        <v>842.24</v>
      </c>
      <c r="M28">
        <f t="shared" ca="1" si="8"/>
        <v>4</v>
      </c>
      <c r="N28">
        <f t="shared" ca="1" si="9"/>
        <v>1</v>
      </c>
      <c r="O28">
        <f t="shared" ca="1" si="10"/>
        <v>4</v>
      </c>
    </row>
    <row r="29" spans="7:24" x14ac:dyDescent="0.3">
      <c r="G29" t="s">
        <v>26</v>
      </c>
      <c r="H29" t="s">
        <v>19</v>
      </c>
      <c r="I29">
        <v>8</v>
      </c>
      <c r="J29">
        <f ca="1">I29*K11</f>
        <v>4000</v>
      </c>
      <c r="K29">
        <f t="shared" ca="1" si="6"/>
        <v>480</v>
      </c>
      <c r="L29">
        <f t="shared" ca="1" si="7"/>
        <v>4480</v>
      </c>
      <c r="M29">
        <f t="shared" ca="1" si="8"/>
        <v>1</v>
      </c>
      <c r="N29">
        <f t="shared" ca="1" si="9"/>
        <v>2</v>
      </c>
      <c r="O29">
        <f t="shared" ca="1" si="10"/>
        <v>1</v>
      </c>
    </row>
    <row r="30" spans="7:24" x14ac:dyDescent="0.3">
      <c r="G30" t="s">
        <v>26</v>
      </c>
      <c r="H30" t="s">
        <v>20</v>
      </c>
      <c r="I30">
        <v>2</v>
      </c>
      <c r="J30">
        <f ca="1">I30*L11</f>
        <v>784</v>
      </c>
      <c r="K30">
        <f t="shared" ca="1" si="6"/>
        <v>94.08</v>
      </c>
      <c r="L30">
        <f t="shared" ca="1" si="7"/>
        <v>878.08</v>
      </c>
      <c r="M30">
        <f t="shared" ca="1" si="8"/>
        <v>3</v>
      </c>
      <c r="N30">
        <f t="shared" ca="1" si="9"/>
        <v>1</v>
      </c>
      <c r="O30">
        <f t="shared" ca="1" si="10"/>
        <v>3</v>
      </c>
    </row>
    <row r="34" spans="7:8" x14ac:dyDescent="0.3">
      <c r="G34" t="s">
        <v>34</v>
      </c>
      <c r="H34">
        <f ca="1">MIN(L25:L30)</f>
        <v>78.400000000000006</v>
      </c>
    </row>
    <row r="35" spans="7:8" x14ac:dyDescent="0.3">
      <c r="G35" t="s">
        <v>35</v>
      </c>
      <c r="H35">
        <f ca="1">MAX(L25:L30)</f>
        <v>4480</v>
      </c>
    </row>
    <row r="36" spans="7:8" x14ac:dyDescent="0.3">
      <c r="G36" t="s">
        <v>36</v>
      </c>
      <c r="H36">
        <f ca="1">AVERAGE(L25:L30)</f>
        <v>1467.2</v>
      </c>
    </row>
    <row r="37" spans="7:8" x14ac:dyDescent="0.3">
      <c r="H3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D74D-9CAD-406B-8F1D-B80EFB6AD32C}">
  <dimension ref="F6:X37"/>
  <sheetViews>
    <sheetView topLeftCell="E7" zoomScale="111" workbookViewId="0">
      <selection activeCell="K18" sqref="K18"/>
    </sheetView>
  </sheetViews>
  <sheetFormatPr defaultRowHeight="14.4" x14ac:dyDescent="0.3"/>
  <cols>
    <col min="6" max="6" width="13.44140625" customWidth="1"/>
  </cols>
  <sheetData>
    <row r="6" spans="6:24" x14ac:dyDescent="0.3">
      <c r="G6" t="s">
        <v>22</v>
      </c>
      <c r="J6">
        <v>5</v>
      </c>
    </row>
    <row r="10" spans="6:24" x14ac:dyDescent="0.3">
      <c r="F10" t="s">
        <v>10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23</v>
      </c>
    </row>
    <row r="11" spans="6:24" x14ac:dyDescent="0.3">
      <c r="F11" t="s">
        <v>11</v>
      </c>
      <c r="G11">
        <f ca="1">RANDBETWEEN(100,500)</f>
        <v>398</v>
      </c>
      <c r="H11">
        <f t="shared" ref="H11:L11" ca="1" si="0">RANDBETWEEN(100,500)</f>
        <v>129</v>
      </c>
      <c r="I11">
        <f t="shared" ca="1" si="0"/>
        <v>390</v>
      </c>
      <c r="J11">
        <f t="shared" ca="1" si="0"/>
        <v>362</v>
      </c>
      <c r="K11">
        <f t="shared" ca="1" si="0"/>
        <v>250</v>
      </c>
      <c r="L11">
        <f t="shared" ca="1" si="0"/>
        <v>149</v>
      </c>
      <c r="M11">
        <f ca="1">SUM(G11:L11)</f>
        <v>1678</v>
      </c>
    </row>
    <row r="12" spans="6:24" x14ac:dyDescent="0.3">
      <c r="F12" t="s">
        <v>12</v>
      </c>
      <c r="G12">
        <f ca="1">RANDBETWEEN(5,10)</f>
        <v>9</v>
      </c>
      <c r="H12">
        <f t="shared" ref="H12:L12" ca="1" si="1">RANDBETWEEN(5,10)</f>
        <v>10</v>
      </c>
      <c r="I12">
        <f t="shared" ca="1" si="1"/>
        <v>9</v>
      </c>
      <c r="J12">
        <f t="shared" ca="1" si="1"/>
        <v>5</v>
      </c>
      <c r="K12">
        <f t="shared" ca="1" si="1"/>
        <v>9</v>
      </c>
      <c r="L12">
        <f t="shared" ca="1" si="1"/>
        <v>8</v>
      </c>
      <c r="M12">
        <f t="shared" ref="M12:M15" ca="1" si="2">SUM(G12:L12)</f>
        <v>50</v>
      </c>
    </row>
    <row r="13" spans="6:24" x14ac:dyDescent="0.3">
      <c r="F13" t="s">
        <v>21</v>
      </c>
      <c r="G13">
        <f ca="1">RANDBETWEEN(10,15)</f>
        <v>14</v>
      </c>
      <c r="H13">
        <f t="shared" ref="H13:L13" ca="1" si="3">RANDBETWEEN(10,15)</f>
        <v>12</v>
      </c>
      <c r="I13">
        <f t="shared" ca="1" si="3"/>
        <v>14</v>
      </c>
      <c r="J13">
        <f t="shared" ca="1" si="3"/>
        <v>13</v>
      </c>
      <c r="K13">
        <f t="shared" ca="1" si="3"/>
        <v>13</v>
      </c>
      <c r="L13">
        <f t="shared" ca="1" si="3"/>
        <v>11</v>
      </c>
      <c r="M13">
        <f t="shared" ca="1" si="2"/>
        <v>77</v>
      </c>
    </row>
    <row r="14" spans="6:24" x14ac:dyDescent="0.3">
      <c r="F14" t="s">
        <v>13</v>
      </c>
      <c r="G14">
        <f ca="1">($J$6/100)*G11</f>
        <v>19.900000000000002</v>
      </c>
      <c r="H14">
        <f t="shared" ref="H14:L14" ca="1" si="4">($J$6/100)*H11</f>
        <v>6.45</v>
      </c>
      <c r="I14">
        <f t="shared" ca="1" si="4"/>
        <v>19.5</v>
      </c>
      <c r="J14">
        <f t="shared" ca="1" si="4"/>
        <v>18.100000000000001</v>
      </c>
      <c r="K14">
        <f t="shared" ca="1" si="4"/>
        <v>12.5</v>
      </c>
      <c r="L14">
        <f t="shared" ca="1" si="4"/>
        <v>7.45</v>
      </c>
      <c r="M14">
        <f t="shared" ca="1" si="2"/>
        <v>83.9</v>
      </c>
      <c r="R14" t="s">
        <v>10</v>
      </c>
      <c r="S14" t="s">
        <v>15</v>
      </c>
      <c r="T14" t="s">
        <v>16</v>
      </c>
      <c r="U14" t="s">
        <v>17</v>
      </c>
      <c r="V14" t="s">
        <v>18</v>
      </c>
      <c r="W14" t="s">
        <v>19</v>
      </c>
      <c r="X14" t="s">
        <v>20</v>
      </c>
    </row>
    <row r="15" spans="6:24" x14ac:dyDescent="0.3">
      <c r="F15" t="s">
        <v>14</v>
      </c>
      <c r="G15">
        <f ca="1">RANDBETWEEN(1,5)</f>
        <v>1</v>
      </c>
      <c r="H15">
        <f t="shared" ref="H15:L15" ca="1" si="5">RANDBETWEEN(1,5)</f>
        <v>2</v>
      </c>
      <c r="I15">
        <f t="shared" ca="1" si="5"/>
        <v>5</v>
      </c>
      <c r="J15">
        <f t="shared" ca="1" si="5"/>
        <v>4</v>
      </c>
      <c r="K15">
        <f t="shared" ca="1" si="5"/>
        <v>5</v>
      </c>
      <c r="L15">
        <f t="shared" ca="1" si="5"/>
        <v>5</v>
      </c>
      <c r="M15">
        <f t="shared" ca="1" si="2"/>
        <v>22</v>
      </c>
      <c r="R15" t="s">
        <v>11</v>
      </c>
      <c r="S15">
        <v>305</v>
      </c>
      <c r="T15">
        <v>474</v>
      </c>
      <c r="U15">
        <v>410</v>
      </c>
      <c r="V15">
        <v>113</v>
      </c>
      <c r="W15">
        <v>455</v>
      </c>
      <c r="X15">
        <v>228</v>
      </c>
    </row>
    <row r="16" spans="6:24" x14ac:dyDescent="0.3">
      <c r="R16" t="s">
        <v>12</v>
      </c>
      <c r="S16">
        <v>6</v>
      </c>
      <c r="T16">
        <v>7</v>
      </c>
      <c r="U16">
        <v>9</v>
      </c>
      <c r="V16">
        <v>9</v>
      </c>
      <c r="W16">
        <v>5</v>
      </c>
      <c r="X16">
        <v>7</v>
      </c>
    </row>
    <row r="17" spans="7:24" x14ac:dyDescent="0.3">
      <c r="R17" t="s">
        <v>21</v>
      </c>
      <c r="S17">
        <v>11</v>
      </c>
      <c r="T17">
        <v>11</v>
      </c>
      <c r="U17">
        <v>11</v>
      </c>
      <c r="V17">
        <v>13</v>
      </c>
      <c r="W17">
        <v>11</v>
      </c>
      <c r="X17">
        <v>14</v>
      </c>
    </row>
    <row r="18" spans="7:24" x14ac:dyDescent="0.3">
      <c r="R18" t="s">
        <v>13</v>
      </c>
      <c r="S18">
        <v>15.25</v>
      </c>
      <c r="T18">
        <v>23.700000000000003</v>
      </c>
      <c r="U18">
        <v>20.5</v>
      </c>
      <c r="V18">
        <v>5.65</v>
      </c>
      <c r="W18">
        <v>22.75</v>
      </c>
      <c r="X18">
        <v>11.4</v>
      </c>
    </row>
    <row r="19" spans="7:24" x14ac:dyDescent="0.3">
      <c r="R19" t="s">
        <v>14</v>
      </c>
      <c r="S19">
        <v>5</v>
      </c>
      <c r="T19">
        <v>1</v>
      </c>
      <c r="U19">
        <v>2</v>
      </c>
      <c r="V19">
        <v>5</v>
      </c>
      <c r="W19">
        <v>2</v>
      </c>
      <c r="X19">
        <v>5</v>
      </c>
    </row>
    <row r="21" spans="7:24" x14ac:dyDescent="0.3">
      <c r="O21" s="2" t="s">
        <v>32</v>
      </c>
      <c r="P21" s="2"/>
      <c r="Q21" s="2"/>
      <c r="R21" s="2"/>
      <c r="S21" s="2"/>
      <c r="T21" s="2"/>
      <c r="U21" s="2"/>
    </row>
    <row r="22" spans="7:24" x14ac:dyDescent="0.3">
      <c r="G22" t="s">
        <v>24</v>
      </c>
      <c r="L22" t="s">
        <v>29</v>
      </c>
      <c r="M22" s="1">
        <v>0.12</v>
      </c>
      <c r="O22" s="2" t="s">
        <v>31</v>
      </c>
      <c r="P22" s="2"/>
      <c r="Q22" s="2"/>
      <c r="R22" s="2"/>
      <c r="S22" s="2"/>
      <c r="T22" s="2"/>
      <c r="U22" s="2"/>
    </row>
    <row r="24" spans="7:24" x14ac:dyDescent="0.3">
      <c r="G24" t="s">
        <v>25</v>
      </c>
      <c r="H24" t="s">
        <v>27</v>
      </c>
      <c r="I24" t="s">
        <v>28</v>
      </c>
      <c r="J24" t="s">
        <v>23</v>
      </c>
      <c r="K24" t="s">
        <v>30</v>
      </c>
      <c r="L24" t="s">
        <v>23</v>
      </c>
      <c r="M24" t="s">
        <v>37</v>
      </c>
      <c r="N24" t="s">
        <v>38</v>
      </c>
      <c r="O24" t="s">
        <v>39</v>
      </c>
    </row>
    <row r="25" spans="7:24" x14ac:dyDescent="0.3">
      <c r="G25" t="s">
        <v>26</v>
      </c>
      <c r="H25" t="s">
        <v>15</v>
      </c>
      <c r="I25">
        <v>5</v>
      </c>
      <c r="J25">
        <f ca="1">I25*G11</f>
        <v>1990</v>
      </c>
      <c r="K25">
        <f ca="1">J25*M$22</f>
        <v>238.79999999999998</v>
      </c>
      <c r="L25">
        <f ca="1">J25+K25</f>
        <v>2228.8000000000002</v>
      </c>
      <c r="M25">
        <f ca="1">_xlfn.RANK.AVG(L25,$L$25:$L$30,0)</f>
        <v>2</v>
      </c>
      <c r="N25">
        <f ca="1">_xlfn.RANK.AVG(L25,L25:L30,1)</f>
        <v>5</v>
      </c>
      <c r="O25">
        <f ca="1">_xlfn.RANK.EQ(L25,$L$25:$L$30,0)</f>
        <v>2</v>
      </c>
    </row>
    <row r="26" spans="7:24" x14ac:dyDescent="0.3">
      <c r="G26" t="s">
        <v>26</v>
      </c>
      <c r="H26" t="s">
        <v>16</v>
      </c>
      <c r="I26">
        <v>6</v>
      </c>
      <c r="J26">
        <f ca="1">I26*H11</f>
        <v>774</v>
      </c>
      <c r="K26">
        <f t="shared" ref="K26:K30" ca="1" si="6">J26*M$22</f>
        <v>92.88</v>
      </c>
      <c r="L26">
        <f t="shared" ref="L26:L30" ca="1" si="7">J26+K26</f>
        <v>866.88</v>
      </c>
      <c r="M26">
        <f t="shared" ref="M26:M30" ca="1" si="8">_xlfn.RANK.AVG(L26,$L$25:$L$30,0)</f>
        <v>4</v>
      </c>
      <c r="N26">
        <f t="shared" ref="N26:N30" ca="1" si="9">_xlfn.RANK.AVG(L26,L26:L31,1)</f>
        <v>3</v>
      </c>
      <c r="O26">
        <f t="shared" ref="O26:O30" ca="1" si="10">_xlfn.RANK.EQ(L26,$L$25:$L$30,0)</f>
        <v>4</v>
      </c>
      <c r="R26" t="s">
        <v>33</v>
      </c>
    </row>
    <row r="27" spans="7:24" x14ac:dyDescent="0.3">
      <c r="G27" t="s">
        <v>26</v>
      </c>
      <c r="H27" t="s">
        <v>17</v>
      </c>
      <c r="I27">
        <v>7</v>
      </c>
      <c r="J27">
        <f ca="1">I27*G13</f>
        <v>98</v>
      </c>
      <c r="K27">
        <f ca="1">J27*M$22</f>
        <v>11.76</v>
      </c>
      <c r="L27">
        <f ca="1">J27+K27</f>
        <v>109.76</v>
      </c>
      <c r="M27">
        <f t="shared" ca="1" si="8"/>
        <v>6</v>
      </c>
      <c r="N27">
        <f t="shared" ca="1" si="9"/>
        <v>1</v>
      </c>
      <c r="O27">
        <f t="shared" ca="1" si="10"/>
        <v>6</v>
      </c>
    </row>
    <row r="28" spans="7:24" x14ac:dyDescent="0.3">
      <c r="G28" t="s">
        <v>26</v>
      </c>
      <c r="H28" t="s">
        <v>18</v>
      </c>
      <c r="I28">
        <v>4</v>
      </c>
      <c r="J28">
        <f ca="1">I28*J11</f>
        <v>1448</v>
      </c>
      <c r="K28">
        <f t="shared" ca="1" si="6"/>
        <v>173.76</v>
      </c>
      <c r="L28">
        <f t="shared" ca="1" si="7"/>
        <v>1621.76</v>
      </c>
      <c r="M28">
        <f t="shared" ca="1" si="8"/>
        <v>3</v>
      </c>
      <c r="N28">
        <f t="shared" ca="1" si="9"/>
        <v>2</v>
      </c>
      <c r="O28">
        <f t="shared" ca="1" si="10"/>
        <v>3</v>
      </c>
    </row>
    <row r="29" spans="7:24" x14ac:dyDescent="0.3">
      <c r="G29" t="s">
        <v>26</v>
      </c>
      <c r="H29" t="s">
        <v>19</v>
      </c>
      <c r="I29">
        <v>8</v>
      </c>
      <c r="J29">
        <f ca="1">I29*K11</f>
        <v>2000</v>
      </c>
      <c r="K29">
        <f t="shared" ca="1" si="6"/>
        <v>240</v>
      </c>
      <c r="L29">
        <f t="shared" ca="1" si="7"/>
        <v>2240</v>
      </c>
      <c r="M29">
        <f t="shared" ca="1" si="8"/>
        <v>1</v>
      </c>
      <c r="N29">
        <f t="shared" ca="1" si="9"/>
        <v>2</v>
      </c>
      <c r="O29">
        <f t="shared" ca="1" si="10"/>
        <v>1</v>
      </c>
    </row>
    <row r="30" spans="7:24" x14ac:dyDescent="0.3">
      <c r="G30" t="s">
        <v>26</v>
      </c>
      <c r="H30" t="s">
        <v>20</v>
      </c>
      <c r="I30">
        <v>2</v>
      </c>
      <c r="J30">
        <f ca="1">I30*L11</f>
        <v>298</v>
      </c>
      <c r="K30">
        <f t="shared" ca="1" si="6"/>
        <v>35.76</v>
      </c>
      <c r="L30">
        <f t="shared" ca="1" si="7"/>
        <v>333.76</v>
      </c>
      <c r="M30">
        <f t="shared" ca="1" si="8"/>
        <v>5</v>
      </c>
      <c r="N30">
        <f t="shared" ca="1" si="9"/>
        <v>1</v>
      </c>
      <c r="O30">
        <f t="shared" ca="1" si="10"/>
        <v>5</v>
      </c>
    </row>
    <row r="34" spans="7:8" x14ac:dyDescent="0.3">
      <c r="G34" t="s">
        <v>34</v>
      </c>
      <c r="H34">
        <f ca="1">MIN(L25:L30)</f>
        <v>109.76</v>
      </c>
    </row>
    <row r="35" spans="7:8" x14ac:dyDescent="0.3">
      <c r="G35" t="s">
        <v>35</v>
      </c>
      <c r="H35">
        <f ca="1">MAX(L25:L30)</f>
        <v>2240</v>
      </c>
    </row>
    <row r="36" spans="7:8" x14ac:dyDescent="0.3">
      <c r="G36" t="s">
        <v>36</v>
      </c>
      <c r="H36">
        <f ca="1">AVERAGE(L25:L30)</f>
        <v>1233.4933333333336</v>
      </c>
    </row>
    <row r="37" spans="7:8" x14ac:dyDescent="0.3">
      <c r="H3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maths</vt:lpstr>
      <vt:lpstr>data paint</vt:lpstr>
      <vt:lpstr>Sheet2</vt:lpstr>
      <vt:lpstr>rankeq and 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giripunje</cp:lastModifiedBy>
  <dcterms:created xsi:type="dcterms:W3CDTF">2015-06-05T18:17:20Z</dcterms:created>
  <dcterms:modified xsi:type="dcterms:W3CDTF">2025-04-03T15:24:58Z</dcterms:modified>
</cp:coreProperties>
</file>