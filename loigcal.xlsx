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5D674789-6843-4765-B6C4-558DA109416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DATEFUN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3" l="1"/>
  <c r="I30" i="3"/>
  <c r="I12" i="3"/>
  <c r="I14" i="3" s="1"/>
  <c r="I19" i="3" s="1"/>
  <c r="I21" i="3" s="1"/>
  <c r="I8" i="3"/>
  <c r="I10" i="3" s="1"/>
  <c r="F28" i="1"/>
  <c r="F27" i="1"/>
  <c r="F26" i="1"/>
  <c r="F25" i="1"/>
  <c r="F22" i="1"/>
  <c r="G22" i="1"/>
  <c r="H22" i="1"/>
  <c r="I22" i="1"/>
  <c r="J22" i="1"/>
  <c r="K22" i="1"/>
  <c r="G20" i="1"/>
  <c r="H20" i="1"/>
  <c r="I20" i="1"/>
  <c r="J20" i="1"/>
  <c r="K20" i="1"/>
  <c r="F20" i="1"/>
  <c r="F19" i="1"/>
  <c r="F18" i="1"/>
  <c r="G17" i="1"/>
  <c r="H17" i="1"/>
  <c r="I17" i="1"/>
  <c r="J17" i="1"/>
  <c r="K17" i="1"/>
  <c r="F17" i="1"/>
  <c r="G16" i="1"/>
  <c r="H16" i="1"/>
  <c r="I16" i="1"/>
  <c r="J16" i="1"/>
  <c r="K16" i="1"/>
  <c r="F16" i="1"/>
  <c r="F13" i="1"/>
  <c r="M10" i="1"/>
  <c r="M9" i="1"/>
  <c r="M8" i="1"/>
  <c r="M7" i="1"/>
  <c r="M6" i="1"/>
  <c r="J12" i="2"/>
  <c r="K12" i="2"/>
  <c r="F12" i="2"/>
  <c r="G12" i="2"/>
  <c r="H12" i="2"/>
  <c r="I12" i="2"/>
  <c r="E12" i="2"/>
  <c r="I25" i="3" l="1"/>
  <c r="I24" i="3"/>
  <c r="I23" i="3"/>
  <c r="I16" i="3"/>
</calcChain>
</file>

<file path=xl/sharedStrings.xml><?xml version="1.0" encoding="utf-8"?>
<sst xmlns="http://schemas.openxmlformats.org/spreadsheetml/2006/main" count="63" uniqueCount="52">
  <si>
    <t>fruit of the day</t>
  </si>
  <si>
    <t>fruitname</t>
  </si>
  <si>
    <t>mango</t>
  </si>
  <si>
    <t>apple</t>
  </si>
  <si>
    <t>papaya</t>
  </si>
  <si>
    <t>info</t>
  </si>
  <si>
    <t>total</t>
  </si>
  <si>
    <t>price</t>
  </si>
  <si>
    <t>lit</t>
  </si>
  <si>
    <t>coverage (sq.ft)</t>
  </si>
  <si>
    <t>margin</t>
  </si>
  <si>
    <t>rating</t>
  </si>
  <si>
    <t>andcheck</t>
  </si>
  <si>
    <t>low</t>
  </si>
  <si>
    <t>mid</t>
  </si>
  <si>
    <t>high</t>
  </si>
  <si>
    <t>&lt;200</t>
  </si>
  <si>
    <t>&lt;250</t>
  </si>
  <si>
    <t>&gt;250</t>
  </si>
  <si>
    <t xml:space="preserve">spray </t>
  </si>
  <si>
    <t xml:space="preserve">oil </t>
  </si>
  <si>
    <t xml:space="preserve">plastic </t>
  </si>
  <si>
    <t xml:space="preserve">acrylic </t>
  </si>
  <si>
    <t xml:space="preserve">exterior </t>
  </si>
  <si>
    <t xml:space="preserve">deco </t>
  </si>
  <si>
    <t>equalcheck</t>
  </si>
  <si>
    <t>paintavgprice</t>
  </si>
  <si>
    <t>islower</t>
  </si>
  <si>
    <t>isgrater</t>
  </si>
  <si>
    <t>orcheck</t>
  </si>
  <si>
    <t>mhengaor sasta</t>
  </si>
  <si>
    <t>lowmidhigh</t>
  </si>
  <si>
    <t>if statement</t>
  </si>
  <si>
    <t>mhengahai</t>
  </si>
  <si>
    <t>sastahai</t>
  </si>
  <si>
    <t>sumif</t>
  </si>
  <si>
    <t>SUMIF</t>
  </si>
  <si>
    <t>OP</t>
  </si>
  <si>
    <t>TODAY</t>
  </si>
  <si>
    <t>FUN</t>
  </si>
  <si>
    <t>SUBSTRACTDATE</t>
  </si>
  <si>
    <t>NOW</t>
  </si>
  <si>
    <t xml:space="preserve">SUB </t>
  </si>
  <si>
    <t>SUB IN DECIMAL</t>
  </si>
  <si>
    <t>custom date</t>
  </si>
  <si>
    <t>month</t>
  </si>
  <si>
    <t>day</t>
  </si>
  <si>
    <t>year</t>
  </si>
  <si>
    <t xml:space="preserve">  </t>
  </si>
  <si>
    <t>date1</t>
  </si>
  <si>
    <t>date2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</si>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</sst>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dd/mmmm/yyyy\ hh:mm:ss"/>
    <numFmt numFmtId="165" formatCode="&quot;month&quot;\=m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28"/>
  <sheetViews>
    <sheetView tabSelected="1" topLeftCell="D3" workbookViewId="0">
      <selection activeCell="N16" sqref="N16"/>
    </sheetView>
  </sheetViews>
  <sheetFormatPr defaultRowHeight="14.4" x14ac:dyDescent="0.3"/>
  <cols>
    <col min="5" max="5" width="13.77734375" bestFit="1" customWidth="1"/>
  </cols>
  <sheetData>
    <row r="5" spans="5:13" x14ac:dyDescent="0.3">
      <c r="E5" t="s">
        <v>5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6</v>
      </c>
      <c r="M5" t="s">
        <v>25</v>
      </c>
    </row>
    <row r="6" spans="5:13" x14ac:dyDescent="0.3">
      <c r="E6" t="s">
        <v>7</v>
      </c>
      <c r="F6">
        <v>271</v>
      </c>
      <c r="G6">
        <v>291</v>
      </c>
      <c r="H6">
        <v>238</v>
      </c>
      <c r="I6">
        <v>135</v>
      </c>
      <c r="J6">
        <v>235</v>
      </c>
      <c r="K6">
        <v>126</v>
      </c>
      <c r="L6">
        <v>1296</v>
      </c>
      <c r="M6" t="b">
        <f>L6=1296</f>
        <v>1</v>
      </c>
    </row>
    <row r="7" spans="5:13" x14ac:dyDescent="0.3">
      <c r="E7" t="s">
        <v>8</v>
      </c>
      <c r="F7">
        <v>5</v>
      </c>
      <c r="G7">
        <v>3</v>
      </c>
      <c r="H7">
        <v>1</v>
      </c>
      <c r="I7">
        <v>1</v>
      </c>
      <c r="J7">
        <v>4</v>
      </c>
      <c r="K7">
        <v>4</v>
      </c>
      <c r="L7">
        <v>18</v>
      </c>
      <c r="M7" t="b">
        <f>L7=66</f>
        <v>0</v>
      </c>
    </row>
    <row r="8" spans="5:13" x14ac:dyDescent="0.3">
      <c r="E8" t="s">
        <v>9</v>
      </c>
      <c r="F8">
        <v>20</v>
      </c>
      <c r="G8">
        <v>15</v>
      </c>
      <c r="H8">
        <v>29</v>
      </c>
      <c r="I8">
        <v>41</v>
      </c>
      <c r="J8">
        <v>41</v>
      </c>
      <c r="K8">
        <v>46</v>
      </c>
      <c r="L8">
        <v>192</v>
      </c>
      <c r="M8" t="b">
        <f>L8=32</f>
        <v>0</v>
      </c>
    </row>
    <row r="9" spans="5:13" x14ac:dyDescent="0.3">
      <c r="E9" t="s">
        <v>10</v>
      </c>
      <c r="F9">
        <v>13.55</v>
      </c>
      <c r="G9">
        <v>14.55</v>
      </c>
      <c r="H9">
        <v>11.9</v>
      </c>
      <c r="I9">
        <v>6.75</v>
      </c>
      <c r="J9">
        <v>11.75</v>
      </c>
      <c r="K9">
        <v>6.3000000000000007</v>
      </c>
      <c r="L9">
        <v>64.8</v>
      </c>
      <c r="M9" t="b">
        <f>L9=64</f>
        <v>0</v>
      </c>
    </row>
    <row r="10" spans="5:13" x14ac:dyDescent="0.3">
      <c r="E10" t="s">
        <v>11</v>
      </c>
      <c r="F10">
        <v>1</v>
      </c>
      <c r="G10">
        <v>2</v>
      </c>
      <c r="H10">
        <v>1</v>
      </c>
      <c r="I10">
        <v>4</v>
      </c>
      <c r="J10">
        <v>1</v>
      </c>
      <c r="K10">
        <v>1</v>
      </c>
      <c r="L10">
        <v>10</v>
      </c>
      <c r="M10" t="b">
        <f>L10=10</f>
        <v>1</v>
      </c>
    </row>
    <row r="13" spans="5:13" x14ac:dyDescent="0.3">
      <c r="E13" t="s">
        <v>26</v>
      </c>
      <c r="F13">
        <f>AVERAGE(F6:K6)</f>
        <v>216</v>
      </c>
    </row>
    <row r="15" spans="5:13" x14ac:dyDescent="0.3"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</row>
    <row r="16" spans="5:13" x14ac:dyDescent="0.3">
      <c r="E16" t="s">
        <v>28</v>
      </c>
      <c r="F16" t="b">
        <f>$F13&lt;F6</f>
        <v>1</v>
      </c>
      <c r="G16" t="b">
        <f t="shared" ref="G16:K16" si="0">$F13&lt;G6</f>
        <v>1</v>
      </c>
      <c r="H16" t="b">
        <f t="shared" si="0"/>
        <v>1</v>
      </c>
      <c r="I16" t="b">
        <f t="shared" si="0"/>
        <v>0</v>
      </c>
      <c r="J16" t="b">
        <f t="shared" si="0"/>
        <v>1</v>
      </c>
      <c r="K16" t="b">
        <f t="shared" si="0"/>
        <v>0</v>
      </c>
    </row>
    <row r="17" spans="2:11" x14ac:dyDescent="0.3">
      <c r="E17" t="s">
        <v>27</v>
      </c>
      <c r="F17" t="b">
        <f>F6&lt;$F13</f>
        <v>0</v>
      </c>
      <c r="G17" t="b">
        <f t="shared" ref="G17:K17" si="1">G6&lt;$F13</f>
        <v>0</v>
      </c>
      <c r="H17" t="b">
        <f t="shared" si="1"/>
        <v>0</v>
      </c>
      <c r="I17" t="b">
        <f t="shared" si="1"/>
        <v>1</v>
      </c>
      <c r="J17" t="b">
        <f t="shared" si="1"/>
        <v>0</v>
      </c>
      <c r="K17" t="b">
        <f t="shared" si="1"/>
        <v>1</v>
      </c>
    </row>
    <row r="18" spans="2:11" x14ac:dyDescent="0.3">
      <c r="E18" t="s">
        <v>29</v>
      </c>
      <c r="F18" t="b">
        <f>OR(F6&gt;F13,G6&gt;F13,H6&gt;F13,I6&gt;F13,J6&gt;F13,K6&gt;F13)</f>
        <v>1</v>
      </c>
    </row>
    <row r="19" spans="2:11" x14ac:dyDescent="0.3">
      <c r="E19" t="s">
        <v>12</v>
      </c>
      <c r="F19" t="b">
        <f>AND(F6&gt;F13,G6&gt;F13,H6&gt;F13,I6&gt;F13,J6&gt;F13,K6&gt;F13)</f>
        <v>0</v>
      </c>
    </row>
    <row r="20" spans="2:11" x14ac:dyDescent="0.3">
      <c r="E20" t="s">
        <v>30</v>
      </c>
      <c r="F20" t="str">
        <f>IF(F6&gt;$F13,"mhengahai","sastahai")</f>
        <v>mhengahai</v>
      </c>
      <c r="G20" t="str">
        <f t="shared" ref="G20:K20" si="2">IF(G6&gt;$F13,"mhengahai","sastahai")</f>
        <v>mhengahai</v>
      </c>
      <c r="H20" t="str">
        <f t="shared" si="2"/>
        <v>mhengahai</v>
      </c>
      <c r="I20" t="str">
        <f t="shared" si="2"/>
        <v>sastahai</v>
      </c>
      <c r="J20" t="str">
        <f t="shared" si="2"/>
        <v>mhengahai</v>
      </c>
      <c r="K20" t="str">
        <f t="shared" si="2"/>
        <v>sastahai</v>
      </c>
    </row>
    <row r="21" spans="2:11" x14ac:dyDescent="0.3">
      <c r="B21" t="s">
        <v>32</v>
      </c>
    </row>
    <row r="22" spans="2:11" x14ac:dyDescent="0.3">
      <c r="B22" t="s">
        <v>13</v>
      </c>
      <c r="C22" t="s">
        <v>14</v>
      </c>
      <c r="D22" t="s">
        <v>15</v>
      </c>
      <c r="E22" t="s">
        <v>31</v>
      </c>
      <c r="F22" t="str">
        <f>IF(F6&gt;250,"high",IF(F6&gt;200,"mid","low"))</f>
        <v>high</v>
      </c>
      <c r="G22" t="str">
        <f t="shared" ref="G22:K22" si="3">IF(G6&gt;250,"high",IF(G6&gt;200,"mid","low"))</f>
        <v>high</v>
      </c>
      <c r="H22" t="str">
        <f t="shared" si="3"/>
        <v>mid</v>
      </c>
      <c r="I22" t="str">
        <f t="shared" si="3"/>
        <v>low</v>
      </c>
      <c r="J22" t="str">
        <f t="shared" si="3"/>
        <v>mid</v>
      </c>
      <c r="K22" t="str">
        <f t="shared" si="3"/>
        <v>low</v>
      </c>
    </row>
    <row r="23" spans="2:11" x14ac:dyDescent="0.3">
      <c r="B23" t="s">
        <v>16</v>
      </c>
      <c r="C23" t="s">
        <v>17</v>
      </c>
      <c r="D23" t="s">
        <v>18</v>
      </c>
    </row>
    <row r="25" spans="2:11" x14ac:dyDescent="0.3">
      <c r="E25" t="s">
        <v>33</v>
      </c>
      <c r="F25">
        <f>COUNTIF(F20:K20,E25)</f>
        <v>4</v>
      </c>
    </row>
    <row r="26" spans="2:11" x14ac:dyDescent="0.3">
      <c r="E26" t="s">
        <v>34</v>
      </c>
      <c r="F26">
        <f>COUNTIF(F20:K20,E26)</f>
        <v>2</v>
      </c>
    </row>
    <row r="27" spans="2:11" x14ac:dyDescent="0.3">
      <c r="E27" t="s">
        <v>35</v>
      </c>
      <c r="F27">
        <f>SUMIF(F20:K20,E25,F6:K6)</f>
        <v>1035</v>
      </c>
    </row>
    <row r="28" spans="2:11" x14ac:dyDescent="0.3">
      <c r="E28" t="s">
        <v>36</v>
      </c>
      <c r="F28">
        <f>SUMIF(F20:K20,E26,F9:K9)</f>
        <v>13.05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7C33-CAFD-4E75-800E-B669604EC819}">
  <dimension ref="B7:I32"/>
  <sheetViews>
    <sheetView topLeftCell="C1" workbookViewId="0">
      <selection activeCell="I19" sqref="I19"/>
    </sheetView>
  </sheetViews>
  <sheetFormatPr defaultRowHeight="14.4" x14ac:dyDescent="0.3"/>
  <cols>
    <col min="2" max="3" width="10.33203125" bestFit="1" customWidth="1"/>
    <col min="7" max="7" width="15" bestFit="1" customWidth="1"/>
    <col min="9" max="9" width="31.5546875" bestFit="1" customWidth="1"/>
  </cols>
  <sheetData>
    <row r="7" spans="7:9" x14ac:dyDescent="0.3">
      <c r="G7" t="s">
        <v>39</v>
      </c>
      <c r="I7" t="s">
        <v>37</v>
      </c>
    </row>
    <row r="8" spans="7:9" x14ac:dyDescent="0.3">
      <c r="G8" t="s">
        <v>38</v>
      </c>
      <c r="I8" s="1">
        <f ca="1">TODAY()</f>
        <v>45752</v>
      </c>
    </row>
    <row r="10" spans="7:9" x14ac:dyDescent="0.3">
      <c r="G10" t="s">
        <v>40</v>
      </c>
      <c r="I10" s="1">
        <f ca="1">I8-2</f>
        <v>45750</v>
      </c>
    </row>
    <row r="12" spans="7:9" x14ac:dyDescent="0.3">
      <c r="G12" t="s">
        <v>41</v>
      </c>
      <c r="I12" s="2">
        <f ca="1">NOW()</f>
        <v>45752.366216087961</v>
      </c>
    </row>
    <row r="14" spans="7:9" x14ac:dyDescent="0.3">
      <c r="G14" t="s">
        <v>42</v>
      </c>
      <c r="I14" s="2">
        <f ca="1">I12-10</f>
        <v>45742.366216087961</v>
      </c>
    </row>
    <row r="16" spans="7:9" x14ac:dyDescent="0.3">
      <c r="G16" t="s">
        <v>43</v>
      </c>
      <c r="I16" s="2">
        <f ca="1">I12-2.3</f>
        <v>45750.066216087958</v>
      </c>
    </row>
    <row r="19" spans="2:9" x14ac:dyDescent="0.3">
      <c r="G19" t="s">
        <v>44</v>
      </c>
      <c r="I19" s="3">
        <f ca="1">I14</f>
        <v>45742.366216087961</v>
      </c>
    </row>
    <row r="21" spans="2:9" x14ac:dyDescent="0.3">
      <c r="G21" t="s">
        <v>45</v>
      </c>
      <c r="I21" s="4">
        <f ca="1">I19</f>
        <v>45742.366216087961</v>
      </c>
    </row>
    <row r="23" spans="2:9" x14ac:dyDescent="0.3">
      <c r="G23" t="s">
        <v>46</v>
      </c>
      <c r="I23">
        <f ca="1">DAY(I19)</f>
        <v>26</v>
      </c>
    </row>
    <row r="24" spans="2:9" x14ac:dyDescent="0.3">
      <c r="G24" t="s">
        <v>45</v>
      </c>
      <c r="I24">
        <f ca="1">MONTH(I19)</f>
        <v>3</v>
      </c>
    </row>
    <row r="25" spans="2:9" x14ac:dyDescent="0.3">
      <c r="G25" t="s">
        <v>47</v>
      </c>
      <c r="I25">
        <f ca="1">YEAR(I19)</f>
        <v>2025</v>
      </c>
    </row>
    <row r="28" spans="2:9" x14ac:dyDescent="0.3">
      <c r="B28" t="s">
        <v>49</v>
      </c>
      <c r="C28" t="s">
        <v>50</v>
      </c>
      <c r="D28" t="s">
        <v>48</v>
      </c>
    </row>
    <row r="30" spans="2:9" x14ac:dyDescent="0.3">
      <c r="B30" s="1">
        <v>45651</v>
      </c>
      <c r="C30" s="1">
        <v>38688</v>
      </c>
      <c r="D30" t="s">
        <v>51</v>
      </c>
      <c r="I30">
        <f>_xlfn.DAYS(B30,C30)</f>
        <v>6963</v>
      </c>
    </row>
    <row r="32" spans="2:9" x14ac:dyDescent="0.3">
      <c r="I32">
        <f>B30-C30</f>
        <v>6963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319C-DC23-405D-B27A-6426767D372D}">
  <dimension ref="C9:K12"/>
  <sheetViews>
    <sheetView topLeftCell="D4" zoomScale="75" workbookViewId="0">
      <selection activeCell="I19" sqref="I19"/>
    </sheetView>
  </sheetViews>
  <sheetFormatPr defaultRowHeight="14.4" x14ac:dyDescent="0.3"/>
  <cols>
    <col min="3" max="3" width="13.21875" bestFit="1" customWidth="1"/>
    <col min="5" max="5" width="16.77734375" bestFit="1" customWidth="1"/>
    <col min="6" max="6" width="15.6640625" bestFit="1" customWidth="1"/>
    <col min="7" max="7" width="17.21875" bestFit="1" customWidth="1"/>
    <col min="8" max="8" width="16.77734375" bestFit="1" customWidth="1"/>
    <col min="9" max="9" width="15.6640625" bestFit="1" customWidth="1"/>
    <col min="10" max="10" width="16.77734375" bestFit="1" customWidth="1"/>
    <col min="11" max="11" width="17.44140625" bestFit="1" customWidth="1"/>
  </cols>
  <sheetData>
    <row r="9" spans="3:11" x14ac:dyDescent="0.3">
      <c r="C9" t="s">
        <v>0</v>
      </c>
      <c r="E9">
        <v>1</v>
      </c>
      <c r="F9">
        <v>2</v>
      </c>
      <c r="G9">
        <v>3</v>
      </c>
      <c r="H9">
        <v>4</v>
      </c>
      <c r="I9">
        <v>5</v>
      </c>
      <c r="J9">
        <v>6</v>
      </c>
      <c r="K9">
        <v>7</v>
      </c>
    </row>
    <row r="10" spans="3:11" x14ac:dyDescent="0.3">
      <c r="D10" t="s">
        <v>1</v>
      </c>
      <c r="E10" t="s">
        <v>2</v>
      </c>
      <c r="F10" t="s">
        <v>3</v>
      </c>
      <c r="G10" t="s">
        <v>4</v>
      </c>
      <c r="H10" t="s">
        <v>2</v>
      </c>
      <c r="I10" t="s">
        <v>3</v>
      </c>
      <c r="J10" t="s">
        <v>2</v>
      </c>
      <c r="K10" t="s">
        <v>4</v>
      </c>
    </row>
    <row r="12" spans="3:11" x14ac:dyDescent="0.3">
      <c r="E12" t="str">
        <f>IF(E10="mango","today is mango day",IF(E10="apple","today is apple day","today is papaya day"))</f>
        <v>today is mango day</v>
      </c>
      <c r="F12" t="str">
        <f t="shared" ref="F12:K12" si="0">IF(F10="mango","today is mango day",IF(F10="apple","today is apple day","today is papaya day"))</f>
        <v>today is apple day</v>
      </c>
      <c r="G12" t="str">
        <f t="shared" si="0"/>
        <v>today is papaya day</v>
      </c>
      <c r="H12" t="str">
        <f t="shared" si="0"/>
        <v>today is mango day</v>
      </c>
      <c r="I12" t="str">
        <f t="shared" si="0"/>
        <v>today is apple day</v>
      </c>
      <c r="J12" t="str">
        <f>IF(J10="mango","today is mango day",IF(J10="apple","today is apple day","today is papaya day"))</f>
        <v>today is mango day</v>
      </c>
      <c r="K12" t="str">
        <f t="shared" si="0"/>
        <v>today is papaya 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DATEFUN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2025-04-05T03:21:23Z</dcterms:modified>
</cp:coreProperties>
</file>