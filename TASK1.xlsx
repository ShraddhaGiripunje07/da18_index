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a practice self\"/>
    </mc:Choice>
  </mc:AlternateContent>
  <xr:revisionPtr revIDLastSave="0" documentId="13_ncr:1_{EFD8FB3D-5CA0-4345-9A58-A3A1E7736D21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hw1" sheetId="1" r:id="rId1"/>
    <sheet name="hw2" sheetId="2" r:id="rId2"/>
    <sheet name="hw3" sheetId="3" r:id="rId3"/>
    <sheet name="hw4" sheetId="4" r:id="rId4"/>
    <sheet name="hw5" sheetId="5" r:id="rId5"/>
    <sheet name="hw6" sheetId="6" r:id="rId6"/>
    <sheet name="hw7" sheetId="7" r:id="rId7"/>
    <sheet name="hw8" sheetId="8" r:id="rId8"/>
    <sheet name="hw9" sheetId="9" r:id="rId9"/>
    <sheet name="hw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0" l="1"/>
  <c r="N14" i="10"/>
  <c r="N13" i="10"/>
  <c r="N12" i="10"/>
  <c r="N11" i="10"/>
  <c r="H17" i="10"/>
  <c r="H16" i="10"/>
  <c r="H15" i="10"/>
  <c r="H14" i="10"/>
  <c r="H13" i="10"/>
  <c r="H12" i="10"/>
  <c r="O14" i="9"/>
  <c r="O13" i="9"/>
  <c r="O12" i="9"/>
  <c r="O11" i="9"/>
  <c r="O10" i="9"/>
  <c r="I15" i="9"/>
  <c r="I14" i="9"/>
  <c r="I13" i="9"/>
  <c r="I12" i="9"/>
  <c r="I11" i="9"/>
  <c r="I10" i="9"/>
  <c r="M12" i="8"/>
  <c r="M11" i="8"/>
  <c r="M10" i="8"/>
  <c r="M9" i="8"/>
  <c r="M8" i="8"/>
  <c r="F13" i="8"/>
  <c r="F12" i="8"/>
  <c r="F11" i="8"/>
  <c r="F10" i="8"/>
  <c r="F9" i="8"/>
  <c r="F8" i="8"/>
  <c r="M13" i="7"/>
  <c r="M12" i="7"/>
  <c r="M11" i="7"/>
  <c r="M10" i="7"/>
  <c r="M14" i="7"/>
  <c r="F15" i="7"/>
  <c r="F14" i="7"/>
  <c r="F13" i="7"/>
  <c r="F11" i="7"/>
  <c r="F12" i="7"/>
  <c r="F10" i="7"/>
  <c r="N14" i="6"/>
  <c r="N13" i="6"/>
  <c r="N12" i="6"/>
  <c r="N11" i="6"/>
  <c r="N10" i="6"/>
  <c r="H15" i="6"/>
  <c r="H14" i="6"/>
  <c r="H13" i="6"/>
  <c r="H12" i="6"/>
  <c r="H11" i="6"/>
  <c r="H10" i="6"/>
  <c r="O15" i="5"/>
  <c r="O14" i="5"/>
  <c r="O13" i="5"/>
  <c r="O12" i="5"/>
  <c r="O11" i="5"/>
  <c r="H15" i="5"/>
  <c r="H14" i="5"/>
  <c r="H13" i="5"/>
  <c r="H12" i="5"/>
  <c r="H11" i="5"/>
  <c r="H10" i="5"/>
  <c r="N11" i="4"/>
  <c r="N10" i="4"/>
  <c r="N9" i="4"/>
  <c r="N8" i="4"/>
  <c r="N7" i="4"/>
  <c r="H12" i="4"/>
  <c r="H11" i="4"/>
  <c r="H10" i="4"/>
  <c r="H9" i="4"/>
  <c r="H8" i="4"/>
  <c r="H7" i="4"/>
  <c r="O12" i="3"/>
  <c r="O11" i="3"/>
  <c r="O10" i="3"/>
  <c r="O9" i="3"/>
  <c r="O8" i="3"/>
  <c r="H13" i="3"/>
  <c r="H12" i="3"/>
  <c r="H11" i="3"/>
  <c r="H10" i="3"/>
  <c r="H9" i="3"/>
  <c r="H8" i="3"/>
  <c r="M9" i="2"/>
  <c r="M8" i="2"/>
  <c r="M7" i="2"/>
  <c r="M6" i="2"/>
  <c r="M5" i="2"/>
  <c r="F10" i="2"/>
  <c r="F9" i="2"/>
  <c r="F8" i="2"/>
  <c r="F7" i="2"/>
  <c r="F6" i="2"/>
  <c r="F5" i="2"/>
  <c r="L8" i="1"/>
  <c r="L7" i="1"/>
  <c r="L6" i="1"/>
  <c r="L5" i="1"/>
  <c r="L4" i="1"/>
  <c r="E9" i="1"/>
  <c r="E8" i="1" l="1"/>
  <c r="E7" i="1"/>
  <c r="E6" i="1" l="1"/>
  <c r="E5" i="1"/>
  <c r="E4" i="1"/>
</calcChain>
</file>

<file path=xl/sharedStrings.xml><?xml version="1.0" encoding="utf-8"?>
<sst xmlns="http://schemas.openxmlformats.org/spreadsheetml/2006/main" count="190" uniqueCount="12">
  <si>
    <t>add</t>
  </si>
  <si>
    <t>sub</t>
  </si>
  <si>
    <t>mul</t>
  </si>
  <si>
    <t>mod</t>
  </si>
  <si>
    <t>div</t>
  </si>
  <si>
    <t>avg</t>
  </si>
  <si>
    <t>val1</t>
  </si>
  <si>
    <t>val2</t>
  </si>
  <si>
    <t>oper</t>
  </si>
  <si>
    <t>o/p</t>
  </si>
  <si>
    <t>mult</t>
  </si>
  <si>
    <t>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</si>
</sst>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9"/>
  <sheetViews>
    <sheetView workbookViewId="0">
      <selection activeCell="I20" sqref="I20"/>
    </sheetView>
  </sheetViews>
  <sheetFormatPr defaultRowHeight="14.4" x14ac:dyDescent="0.3"/>
  <sheetData>
    <row r="3" spans="2:12" x14ac:dyDescent="0.3">
      <c r="B3" t="s">
        <v>6</v>
      </c>
      <c r="C3" t="s">
        <v>7</v>
      </c>
      <c r="D3" t="s">
        <v>8</v>
      </c>
      <c r="E3" t="s">
        <v>9</v>
      </c>
      <c r="I3" t="s">
        <v>6</v>
      </c>
      <c r="J3" t="s">
        <v>7</v>
      </c>
      <c r="K3" t="s">
        <v>8</v>
      </c>
      <c r="L3" t="s">
        <v>9</v>
      </c>
    </row>
    <row r="4" spans="2:12" x14ac:dyDescent="0.3">
      <c r="B4">
        <v>6</v>
      </c>
      <c r="C4">
        <v>2</v>
      </c>
      <c r="D4" t="s">
        <v>0</v>
      </c>
      <c r="E4">
        <f>SUM(B4+C4)</f>
        <v>8</v>
      </c>
      <c r="I4">
        <v>4</v>
      </c>
      <c r="J4">
        <v>4</v>
      </c>
      <c r="K4" t="s">
        <v>0</v>
      </c>
      <c r="L4">
        <f>I4+J4</f>
        <v>8</v>
      </c>
    </row>
    <row r="5" spans="2:12" x14ac:dyDescent="0.3">
      <c r="B5">
        <v>5</v>
      </c>
      <c r="C5">
        <v>3</v>
      </c>
      <c r="D5" t="s">
        <v>1</v>
      </c>
      <c r="E5">
        <f>B5-C5</f>
        <v>2</v>
      </c>
      <c r="I5">
        <v>6</v>
      </c>
      <c r="J5">
        <v>3</v>
      </c>
      <c r="K5" t="s">
        <v>1</v>
      </c>
      <c r="L5">
        <f>I5-J5</f>
        <v>3</v>
      </c>
    </row>
    <row r="6" spans="2:12" x14ac:dyDescent="0.3">
      <c r="B6">
        <v>4</v>
      </c>
      <c r="C6">
        <v>9</v>
      </c>
      <c r="D6" t="s">
        <v>2</v>
      </c>
      <c r="E6">
        <f>B6*C6</f>
        <v>36</v>
      </c>
      <c r="I6">
        <v>6</v>
      </c>
      <c r="J6">
        <v>6</v>
      </c>
      <c r="K6" t="s">
        <v>2</v>
      </c>
      <c r="L6">
        <f>I6*J6</f>
        <v>36</v>
      </c>
    </row>
    <row r="7" spans="2:12" x14ac:dyDescent="0.3">
      <c r="B7">
        <v>9</v>
      </c>
      <c r="C7">
        <v>3</v>
      </c>
      <c r="D7" t="s">
        <v>3</v>
      </c>
      <c r="E7">
        <f>MOD(B7,C7)</f>
        <v>0</v>
      </c>
      <c r="I7">
        <v>9</v>
      </c>
      <c r="J7">
        <v>3</v>
      </c>
      <c r="K7" t="s">
        <v>4</v>
      </c>
      <c r="L7">
        <f>9/3</f>
        <v>3</v>
      </c>
    </row>
    <row r="8" spans="2:12" x14ac:dyDescent="0.3">
      <c r="B8">
        <v>27</v>
      </c>
      <c r="C8">
        <v>9</v>
      </c>
      <c r="D8" t="s">
        <v>4</v>
      </c>
      <c r="E8">
        <f>B8/C8</f>
        <v>3</v>
      </c>
      <c r="I8">
        <v>6</v>
      </c>
      <c r="J8">
        <v>5</v>
      </c>
      <c r="K8" t="s">
        <v>3</v>
      </c>
      <c r="L8">
        <f>MOD(I8,J8)</f>
        <v>1</v>
      </c>
    </row>
    <row r="9" spans="2:12" x14ac:dyDescent="0.3">
      <c r="B9">
        <v>9</v>
      </c>
      <c r="C9">
        <v>6</v>
      </c>
      <c r="D9" t="s">
        <v>5</v>
      </c>
      <c r="E9">
        <f>(B9+C9)/2</f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F41D-93EA-4125-921F-29F8B831ED27}">
  <dimension ref="C4:M10"/>
  <sheetViews>
    <sheetView workbookViewId="0">
      <selection activeCell="M10" sqref="M10"/>
    </sheetView>
  </sheetViews>
  <sheetFormatPr defaultRowHeight="14.4" x14ac:dyDescent="0.3"/>
  <sheetData>
    <row r="4" spans="3:13" x14ac:dyDescent="0.3">
      <c r="C4" t="s">
        <v>6</v>
      </c>
      <c r="D4" t="s">
        <v>7</v>
      </c>
      <c r="E4" t="s">
        <v>8</v>
      </c>
      <c r="F4" t="s">
        <v>9</v>
      </c>
      <c r="J4" t="s">
        <v>6</v>
      </c>
      <c r="K4" t="s">
        <v>7</v>
      </c>
      <c r="L4" t="s">
        <v>8</v>
      </c>
      <c r="M4" t="s">
        <v>9</v>
      </c>
    </row>
    <row r="5" spans="3:13" x14ac:dyDescent="0.3">
      <c r="C5">
        <v>4</v>
      </c>
      <c r="D5">
        <v>9</v>
      </c>
      <c r="E5" t="s">
        <v>0</v>
      </c>
      <c r="F5">
        <f>4+9</f>
        <v>13</v>
      </c>
      <c r="J5">
        <v>5</v>
      </c>
      <c r="K5">
        <v>5</v>
      </c>
      <c r="L5" t="s">
        <v>0</v>
      </c>
      <c r="M5">
        <f>SUM(J5+K5)</f>
        <v>10</v>
      </c>
    </row>
    <row r="6" spans="3:13" x14ac:dyDescent="0.3">
      <c r="C6">
        <v>5</v>
      </c>
      <c r="D6">
        <v>2</v>
      </c>
      <c r="E6" t="s">
        <v>1</v>
      </c>
      <c r="F6">
        <f>2-5</f>
        <v>-3</v>
      </c>
      <c r="J6">
        <v>3</v>
      </c>
      <c r="K6">
        <v>1</v>
      </c>
      <c r="L6" t="s">
        <v>1</v>
      </c>
      <c r="M6">
        <f>J6-K6</f>
        <v>2</v>
      </c>
    </row>
    <row r="7" spans="3:13" x14ac:dyDescent="0.3">
      <c r="C7">
        <v>2</v>
      </c>
      <c r="D7">
        <v>5</v>
      </c>
      <c r="E7" t="s">
        <v>2</v>
      </c>
      <c r="F7">
        <f>2*5</f>
        <v>10</v>
      </c>
      <c r="J7">
        <v>8</v>
      </c>
      <c r="K7">
        <v>5</v>
      </c>
      <c r="L7" t="s">
        <v>2</v>
      </c>
      <c r="M7">
        <f>J7*K7</f>
        <v>40</v>
      </c>
    </row>
    <row r="8" spans="3:13" x14ac:dyDescent="0.3">
      <c r="C8">
        <v>3</v>
      </c>
      <c r="D8">
        <v>66</v>
      </c>
      <c r="E8" t="s">
        <v>4</v>
      </c>
      <c r="F8">
        <f>3/66</f>
        <v>4.5454545454545456E-2</v>
      </c>
      <c r="J8">
        <v>5</v>
      </c>
      <c r="K8">
        <v>5</v>
      </c>
      <c r="L8" t="s">
        <v>4</v>
      </c>
      <c r="M8">
        <f>J8/K8</f>
        <v>1</v>
      </c>
    </row>
    <row r="9" spans="3:13" x14ac:dyDescent="0.3">
      <c r="C9">
        <v>88</v>
      </c>
      <c r="D9">
        <v>8</v>
      </c>
      <c r="E9" t="s">
        <v>3</v>
      </c>
      <c r="F9">
        <f>MOD(88,8)</f>
        <v>0</v>
      </c>
      <c r="J9">
        <v>2</v>
      </c>
      <c r="K9">
        <v>5</v>
      </c>
      <c r="L9" t="s">
        <v>3</v>
      </c>
      <c r="M9">
        <f>MOD(J9,K9)</f>
        <v>2</v>
      </c>
    </row>
    <row r="10" spans="3:13" x14ac:dyDescent="0.3">
      <c r="C10">
        <v>4</v>
      </c>
      <c r="D10">
        <v>5</v>
      </c>
      <c r="E10" t="s">
        <v>5</v>
      </c>
      <c r="F10">
        <f>(4+5)/2</f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6D45-F81C-4D16-9836-34574E8A0585}">
  <dimension ref="E7:O13"/>
  <sheetViews>
    <sheetView workbookViewId="0">
      <selection activeCell="O13" sqref="O13"/>
    </sheetView>
  </sheetViews>
  <sheetFormatPr defaultRowHeight="14.4" x14ac:dyDescent="0.3"/>
  <sheetData>
    <row r="7" spans="5:15" x14ac:dyDescent="0.3">
      <c r="E7" t="s">
        <v>6</v>
      </c>
      <c r="F7" t="s">
        <v>7</v>
      </c>
      <c r="G7" t="s">
        <v>8</v>
      </c>
      <c r="H7" t="s">
        <v>9</v>
      </c>
      <c r="L7" t="s">
        <v>6</v>
      </c>
      <c r="M7" t="s">
        <v>7</v>
      </c>
      <c r="N7" t="s">
        <v>8</v>
      </c>
      <c r="O7" t="s">
        <v>9</v>
      </c>
    </row>
    <row r="8" spans="5:15" x14ac:dyDescent="0.3">
      <c r="E8">
        <v>6</v>
      </c>
      <c r="F8">
        <v>4</v>
      </c>
      <c r="G8" t="s">
        <v>0</v>
      </c>
      <c r="H8">
        <f>6+4</f>
        <v>10</v>
      </c>
      <c r="L8">
        <v>6</v>
      </c>
      <c r="M8">
        <v>9</v>
      </c>
      <c r="N8" t="s">
        <v>0</v>
      </c>
      <c r="O8">
        <f>L8+M8</f>
        <v>15</v>
      </c>
    </row>
    <row r="9" spans="5:15" x14ac:dyDescent="0.3">
      <c r="E9">
        <v>3</v>
      </c>
      <c r="F9">
        <v>5</v>
      </c>
      <c r="G9" t="s">
        <v>1</v>
      </c>
      <c r="H9">
        <f>3-5</f>
        <v>-2</v>
      </c>
      <c r="L9">
        <v>5</v>
      </c>
      <c r="M9">
        <v>5</v>
      </c>
      <c r="N9" t="s">
        <v>1</v>
      </c>
      <c r="O9">
        <f>L9-M9</f>
        <v>0</v>
      </c>
    </row>
    <row r="10" spans="5:15" x14ac:dyDescent="0.3">
      <c r="E10">
        <v>5</v>
      </c>
      <c r="F10">
        <v>7</v>
      </c>
      <c r="G10" t="s">
        <v>2</v>
      </c>
      <c r="H10">
        <f>5*7</f>
        <v>35</v>
      </c>
      <c r="L10">
        <v>2</v>
      </c>
      <c r="M10">
        <v>6</v>
      </c>
      <c r="N10" t="s">
        <v>2</v>
      </c>
      <c r="O10">
        <f>L10*M10</f>
        <v>12</v>
      </c>
    </row>
    <row r="11" spans="5:15" x14ac:dyDescent="0.3">
      <c r="E11">
        <v>4</v>
      </c>
      <c r="F11">
        <v>5</v>
      </c>
      <c r="G11" t="s">
        <v>4</v>
      </c>
      <c r="H11">
        <f>4/5</f>
        <v>0.8</v>
      </c>
      <c r="L11">
        <v>3</v>
      </c>
      <c r="M11">
        <v>5</v>
      </c>
      <c r="N11" t="s">
        <v>4</v>
      </c>
      <c r="O11">
        <f>L11/M11</f>
        <v>0.6</v>
      </c>
    </row>
    <row r="12" spans="5:15" x14ac:dyDescent="0.3">
      <c r="E12">
        <v>4</v>
      </c>
      <c r="F12">
        <v>5</v>
      </c>
      <c r="G12" t="s">
        <v>3</v>
      </c>
      <c r="H12">
        <f>MOD(4,5)</f>
        <v>4</v>
      </c>
      <c r="L12">
        <v>5</v>
      </c>
      <c r="M12">
        <v>4</v>
      </c>
      <c r="N12" t="s">
        <v>3</v>
      </c>
      <c r="O12">
        <f>MOD(L12,M12)</f>
        <v>1</v>
      </c>
    </row>
    <row r="13" spans="5:15" x14ac:dyDescent="0.3">
      <c r="E13">
        <v>3</v>
      </c>
      <c r="F13">
        <v>5</v>
      </c>
      <c r="G13" t="s">
        <v>5</v>
      </c>
      <c r="H13">
        <f>(3+5)/2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7D32-CC7B-403F-BD44-3A52828A7D29}">
  <dimension ref="E6:N12"/>
  <sheetViews>
    <sheetView workbookViewId="0">
      <selection activeCell="N12" sqref="N12"/>
    </sheetView>
  </sheetViews>
  <sheetFormatPr defaultRowHeight="14.4" x14ac:dyDescent="0.3"/>
  <sheetData>
    <row r="6" spans="5:14" x14ac:dyDescent="0.3">
      <c r="E6" t="s">
        <v>6</v>
      </c>
      <c r="F6" t="s">
        <v>7</v>
      </c>
      <c r="G6" t="s">
        <v>8</v>
      </c>
      <c r="H6" t="s">
        <v>9</v>
      </c>
      <c r="K6" t="s">
        <v>6</v>
      </c>
      <c r="L6" t="s">
        <v>7</v>
      </c>
      <c r="M6" t="s">
        <v>11</v>
      </c>
      <c r="N6" t="s">
        <v>9</v>
      </c>
    </row>
    <row r="7" spans="5:14" x14ac:dyDescent="0.3">
      <c r="E7">
        <v>1</v>
      </c>
      <c r="F7">
        <v>2</v>
      </c>
      <c r="G7" t="s">
        <v>0</v>
      </c>
      <c r="H7">
        <f>1+2</f>
        <v>3</v>
      </c>
      <c r="K7">
        <v>5</v>
      </c>
      <c r="L7">
        <v>8</v>
      </c>
      <c r="M7" t="s">
        <v>0</v>
      </c>
      <c r="N7">
        <f>K7+L7</f>
        <v>13</v>
      </c>
    </row>
    <row r="8" spans="5:14" x14ac:dyDescent="0.3">
      <c r="E8">
        <v>3</v>
      </c>
      <c r="F8">
        <v>4</v>
      </c>
      <c r="G8" t="s">
        <v>1</v>
      </c>
      <c r="H8" s="1">
        <f>3-4</f>
        <v>-1</v>
      </c>
      <c r="K8">
        <v>7</v>
      </c>
      <c r="L8">
        <v>5</v>
      </c>
      <c r="M8" t="s">
        <v>1</v>
      </c>
      <c r="N8">
        <f>K8-L8</f>
        <v>2</v>
      </c>
    </row>
    <row r="9" spans="5:14" x14ac:dyDescent="0.3">
      <c r="E9">
        <v>6</v>
      </c>
      <c r="F9">
        <v>5</v>
      </c>
      <c r="G9" t="s">
        <v>10</v>
      </c>
      <c r="H9">
        <f>6*5</f>
        <v>30</v>
      </c>
      <c r="K9">
        <v>4</v>
      </c>
      <c r="L9">
        <v>4</v>
      </c>
      <c r="M9" t="s">
        <v>2</v>
      </c>
      <c r="N9">
        <f>K9*L9</f>
        <v>16</v>
      </c>
    </row>
    <row r="10" spans="5:14" x14ac:dyDescent="0.3">
      <c r="E10">
        <v>7</v>
      </c>
      <c r="F10">
        <v>8</v>
      </c>
      <c r="G10" t="s">
        <v>4</v>
      </c>
      <c r="H10">
        <f>7/8</f>
        <v>0.875</v>
      </c>
      <c r="K10">
        <v>4</v>
      </c>
      <c r="L10">
        <v>2</v>
      </c>
      <c r="M10" t="s">
        <v>4</v>
      </c>
      <c r="N10">
        <f>K10/L10</f>
        <v>2</v>
      </c>
    </row>
    <row r="11" spans="5:14" x14ac:dyDescent="0.3">
      <c r="E11">
        <v>9</v>
      </c>
      <c r="F11">
        <v>8</v>
      </c>
      <c r="G11" t="s">
        <v>3</v>
      </c>
      <c r="H11">
        <f>MOD(9,8)</f>
        <v>1</v>
      </c>
      <c r="K11">
        <v>6</v>
      </c>
      <c r="L11">
        <v>5</v>
      </c>
      <c r="M11" t="s">
        <v>3</v>
      </c>
      <c r="N11">
        <f>MOD(K11,L11)</f>
        <v>1</v>
      </c>
    </row>
    <row r="12" spans="5:14" x14ac:dyDescent="0.3">
      <c r="E12">
        <v>90</v>
      </c>
      <c r="F12">
        <v>56</v>
      </c>
      <c r="G12" t="s">
        <v>5</v>
      </c>
      <c r="H12">
        <f>(90+56)/2</f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ECB7-708A-49CA-AF14-45A8BDAAFBA4}">
  <dimension ref="E9:O15"/>
  <sheetViews>
    <sheetView workbookViewId="0">
      <selection activeCell="O16" sqref="O16"/>
    </sheetView>
  </sheetViews>
  <sheetFormatPr defaultRowHeight="14.4" x14ac:dyDescent="0.3"/>
  <sheetData>
    <row r="9" spans="5:15" x14ac:dyDescent="0.3">
      <c r="E9" t="s">
        <v>6</v>
      </c>
      <c r="F9" t="s">
        <v>7</v>
      </c>
      <c r="G9" t="s">
        <v>8</v>
      </c>
      <c r="H9" t="s">
        <v>9</v>
      </c>
    </row>
    <row r="10" spans="5:15" x14ac:dyDescent="0.3">
      <c r="E10">
        <v>99</v>
      </c>
      <c r="F10">
        <v>9</v>
      </c>
      <c r="G10" t="s">
        <v>0</v>
      </c>
      <c r="H10">
        <f>99+9</f>
        <v>108</v>
      </c>
      <c r="L10" t="s">
        <v>6</v>
      </c>
      <c r="M10" t="s">
        <v>7</v>
      </c>
      <c r="N10" t="s">
        <v>8</v>
      </c>
      <c r="O10" t="s">
        <v>9</v>
      </c>
    </row>
    <row r="11" spans="5:15" x14ac:dyDescent="0.3">
      <c r="E11">
        <v>90</v>
      </c>
      <c r="F11">
        <v>89</v>
      </c>
      <c r="G11" t="s">
        <v>1</v>
      </c>
      <c r="H11">
        <f>90-89</f>
        <v>1</v>
      </c>
      <c r="L11">
        <v>23</v>
      </c>
      <c r="M11">
        <v>5</v>
      </c>
      <c r="N11" t="s">
        <v>0</v>
      </c>
      <c r="O11">
        <f>L11+M11</f>
        <v>28</v>
      </c>
    </row>
    <row r="12" spans="5:15" x14ac:dyDescent="0.3">
      <c r="E12">
        <v>89</v>
      </c>
      <c r="F12">
        <v>1</v>
      </c>
      <c r="G12" t="s">
        <v>2</v>
      </c>
      <c r="H12">
        <f>89*1</f>
        <v>89</v>
      </c>
      <c r="L12">
        <v>33</v>
      </c>
      <c r="M12">
        <v>6</v>
      </c>
      <c r="N12" t="s">
        <v>1</v>
      </c>
      <c r="O12">
        <f>L12-M12</f>
        <v>27</v>
      </c>
    </row>
    <row r="13" spans="5:15" x14ac:dyDescent="0.3">
      <c r="E13">
        <v>90</v>
      </c>
      <c r="F13">
        <v>9</v>
      </c>
      <c r="G13" t="s">
        <v>4</v>
      </c>
      <c r="H13">
        <f>90/9</f>
        <v>10</v>
      </c>
      <c r="L13">
        <v>34</v>
      </c>
      <c r="M13">
        <v>7</v>
      </c>
      <c r="N13" t="s">
        <v>2</v>
      </c>
      <c r="O13">
        <f>L13*M13</f>
        <v>238</v>
      </c>
    </row>
    <row r="14" spans="5:15" x14ac:dyDescent="0.3">
      <c r="E14">
        <v>89</v>
      </c>
      <c r="F14">
        <v>8</v>
      </c>
      <c r="G14" t="s">
        <v>3</v>
      </c>
      <c r="H14">
        <f>MOD(89,8)</f>
        <v>1</v>
      </c>
      <c r="L14">
        <v>33</v>
      </c>
      <c r="M14">
        <v>8</v>
      </c>
      <c r="N14" t="s">
        <v>4</v>
      </c>
      <c r="O14">
        <f>L14/M14</f>
        <v>4.125</v>
      </c>
    </row>
    <row r="15" spans="5:15" x14ac:dyDescent="0.3">
      <c r="E15">
        <v>90</v>
      </c>
      <c r="F15">
        <v>10</v>
      </c>
      <c r="G15" t="s">
        <v>5</v>
      </c>
      <c r="H15">
        <f>(90+10)/2</f>
        <v>50</v>
      </c>
      <c r="L15">
        <v>44</v>
      </c>
      <c r="M15">
        <v>9</v>
      </c>
      <c r="N15" t="s">
        <v>3</v>
      </c>
      <c r="O15">
        <f>MOD(L15,M15)</f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544B-C303-4E3A-9A0C-9FCB8607B539}">
  <dimension ref="E9:N15"/>
  <sheetViews>
    <sheetView workbookViewId="0">
      <selection activeCell="M21" sqref="M21"/>
    </sheetView>
  </sheetViews>
  <sheetFormatPr defaultRowHeight="14.4" x14ac:dyDescent="0.3"/>
  <sheetData>
    <row r="9" spans="5:14" x14ac:dyDescent="0.3">
      <c r="E9" t="s">
        <v>6</v>
      </c>
      <c r="F9" t="s">
        <v>7</v>
      </c>
      <c r="G9" t="s">
        <v>8</v>
      </c>
      <c r="H9" t="s">
        <v>9</v>
      </c>
      <c r="K9" t="s">
        <v>6</v>
      </c>
      <c r="L9" t="s">
        <v>7</v>
      </c>
      <c r="M9" t="s">
        <v>11</v>
      </c>
      <c r="N9" t="s">
        <v>9</v>
      </c>
    </row>
    <row r="10" spans="5:14" x14ac:dyDescent="0.3">
      <c r="E10">
        <v>90</v>
      </c>
      <c r="F10">
        <v>5</v>
      </c>
      <c r="G10" t="s">
        <v>0</v>
      </c>
      <c r="H10">
        <f>90+5</f>
        <v>95</v>
      </c>
      <c r="K10">
        <v>511</v>
      </c>
      <c r="L10">
        <v>5</v>
      </c>
      <c r="M10" t="s">
        <v>0</v>
      </c>
      <c r="N10">
        <f>K10+L10</f>
        <v>516</v>
      </c>
    </row>
    <row r="11" spans="5:14" x14ac:dyDescent="0.3">
      <c r="E11">
        <v>89</v>
      </c>
      <c r="F11">
        <v>2</v>
      </c>
      <c r="G11" t="s">
        <v>1</v>
      </c>
      <c r="H11">
        <f>89-2</f>
        <v>87</v>
      </c>
      <c r="K11">
        <v>54</v>
      </c>
      <c r="L11">
        <v>2</v>
      </c>
      <c r="M11" t="s">
        <v>1</v>
      </c>
      <c r="N11">
        <f>K11-L11</f>
        <v>52</v>
      </c>
    </row>
    <row r="12" spans="5:14" x14ac:dyDescent="0.3">
      <c r="E12">
        <v>333</v>
      </c>
      <c r="F12">
        <v>6</v>
      </c>
      <c r="G12" t="s">
        <v>2</v>
      </c>
      <c r="H12">
        <f>333*6</f>
        <v>1998</v>
      </c>
      <c r="K12">
        <v>44</v>
      </c>
      <c r="L12">
        <v>2</v>
      </c>
      <c r="M12" t="s">
        <v>2</v>
      </c>
      <c r="N12">
        <f>K12*L12</f>
        <v>88</v>
      </c>
    </row>
    <row r="13" spans="5:14" x14ac:dyDescent="0.3">
      <c r="E13">
        <v>22</v>
      </c>
      <c r="F13">
        <v>2</v>
      </c>
      <c r="G13" t="s">
        <v>4</v>
      </c>
      <c r="H13">
        <f>22/2</f>
        <v>11</v>
      </c>
      <c r="K13">
        <v>45</v>
      </c>
      <c r="L13">
        <v>4</v>
      </c>
      <c r="M13" t="s">
        <v>4</v>
      </c>
      <c r="N13">
        <f>K13/L13</f>
        <v>11.25</v>
      </c>
    </row>
    <row r="14" spans="5:14" x14ac:dyDescent="0.3">
      <c r="E14">
        <v>22</v>
      </c>
      <c r="F14">
        <v>5</v>
      </c>
      <c r="G14" t="s">
        <v>3</v>
      </c>
      <c r="H14">
        <f>MOD(22,5)</f>
        <v>2</v>
      </c>
      <c r="K14">
        <v>14</v>
      </c>
      <c r="L14">
        <v>4</v>
      </c>
      <c r="M14" t="s">
        <v>3</v>
      </c>
      <c r="N14">
        <f>MOD(K14,L14)</f>
        <v>2</v>
      </c>
    </row>
    <row r="15" spans="5:14" x14ac:dyDescent="0.3">
      <c r="E15">
        <v>41</v>
      </c>
      <c r="F15">
        <v>4</v>
      </c>
      <c r="G15" t="s">
        <v>5</v>
      </c>
      <c r="H15">
        <f>(41+4)/2</f>
        <v>22.5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CC58-888D-430B-8F82-F71D12D9ECCF}">
  <dimension ref="C9:M15"/>
  <sheetViews>
    <sheetView workbookViewId="0">
      <selection activeCell="M14" sqref="M14"/>
    </sheetView>
  </sheetViews>
  <sheetFormatPr defaultRowHeight="14.4" x14ac:dyDescent="0.3"/>
  <sheetData>
    <row r="9" spans="3:13" x14ac:dyDescent="0.3">
      <c r="C9" t="s">
        <v>6</v>
      </c>
      <c r="D9" t="s">
        <v>7</v>
      </c>
      <c r="E9" t="s">
        <v>8</v>
      </c>
      <c r="F9" t="s">
        <v>9</v>
      </c>
      <c r="J9" t="s">
        <v>6</v>
      </c>
      <c r="K9" t="s">
        <v>7</v>
      </c>
      <c r="L9" t="s">
        <v>8</v>
      </c>
      <c r="M9" t="s">
        <v>9</v>
      </c>
    </row>
    <row r="10" spans="3:13" x14ac:dyDescent="0.3">
      <c r="C10">
        <v>5</v>
      </c>
      <c r="D10">
        <v>4</v>
      </c>
      <c r="E10" t="s">
        <v>0</v>
      </c>
      <c r="F10">
        <f>5+4</f>
        <v>9</v>
      </c>
      <c r="J10">
        <v>55</v>
      </c>
      <c r="K10">
        <v>2</v>
      </c>
      <c r="L10" t="s">
        <v>0</v>
      </c>
      <c r="M10">
        <f>J10+K10</f>
        <v>57</v>
      </c>
    </row>
    <row r="11" spans="3:13" x14ac:dyDescent="0.3">
      <c r="C11">
        <v>4</v>
      </c>
      <c r="D11">
        <v>6</v>
      </c>
      <c r="E11" t="s">
        <v>1</v>
      </c>
      <c r="F11">
        <f>4-6</f>
        <v>-2</v>
      </c>
      <c r="J11">
        <v>55</v>
      </c>
      <c r="K11">
        <v>7</v>
      </c>
      <c r="L11" t="s">
        <v>1</v>
      </c>
      <c r="M11">
        <f>J11-K11</f>
        <v>48</v>
      </c>
    </row>
    <row r="12" spans="3:13" x14ac:dyDescent="0.3">
      <c r="C12">
        <v>6</v>
      </c>
      <c r="D12">
        <v>7</v>
      </c>
      <c r="E12" t="s">
        <v>2</v>
      </c>
      <c r="F12">
        <f>6*7</f>
        <v>42</v>
      </c>
      <c r="J12">
        <v>45</v>
      </c>
      <c r="K12">
        <v>4</v>
      </c>
      <c r="L12" t="s">
        <v>2</v>
      </c>
      <c r="M12">
        <f>J12*K12</f>
        <v>180</v>
      </c>
    </row>
    <row r="13" spans="3:13" x14ac:dyDescent="0.3">
      <c r="C13">
        <v>2</v>
      </c>
      <c r="D13">
        <v>5</v>
      </c>
      <c r="E13" t="s">
        <v>4</v>
      </c>
      <c r="F13">
        <f>2/5</f>
        <v>0.4</v>
      </c>
      <c r="J13">
        <v>12</v>
      </c>
      <c r="K13">
        <v>2</v>
      </c>
      <c r="L13" t="s">
        <v>4</v>
      </c>
      <c r="M13">
        <f>J13/K13</f>
        <v>6</v>
      </c>
    </row>
    <row r="14" spans="3:13" x14ac:dyDescent="0.3">
      <c r="C14">
        <v>1</v>
      </c>
      <c r="D14">
        <v>5</v>
      </c>
      <c r="E14" t="s">
        <v>3</v>
      </c>
      <c r="F14">
        <f>MOD(1,5)</f>
        <v>1</v>
      </c>
      <c r="J14">
        <v>2</v>
      </c>
      <c r="K14">
        <v>5</v>
      </c>
      <c r="L14" t="s">
        <v>3</v>
      </c>
      <c r="M14">
        <f>MOD(J14,K14)</f>
        <v>2</v>
      </c>
    </row>
    <row r="15" spans="3:13" x14ac:dyDescent="0.3">
      <c r="C15">
        <v>10</v>
      </c>
      <c r="D15">
        <v>4</v>
      </c>
      <c r="E15" t="s">
        <v>5</v>
      </c>
      <c r="F15">
        <f>(10+4)/2</f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DD4D-C0B2-451C-8D82-FE47FD0B51E3}">
  <dimension ref="C7:M13"/>
  <sheetViews>
    <sheetView workbookViewId="0">
      <selection activeCell="M13" sqref="M13"/>
    </sheetView>
  </sheetViews>
  <sheetFormatPr defaultRowHeight="14.4" x14ac:dyDescent="0.3"/>
  <sheetData>
    <row r="7" spans="3:13" x14ac:dyDescent="0.3">
      <c r="C7" t="s">
        <v>6</v>
      </c>
      <c r="D7" t="s">
        <v>7</v>
      </c>
      <c r="E7" t="s">
        <v>8</v>
      </c>
      <c r="F7" t="s">
        <v>9</v>
      </c>
      <c r="J7" t="s">
        <v>6</v>
      </c>
      <c r="K7" t="s">
        <v>7</v>
      </c>
      <c r="L7" t="s">
        <v>8</v>
      </c>
      <c r="M7" t="s">
        <v>9</v>
      </c>
    </row>
    <row r="8" spans="3:13" x14ac:dyDescent="0.3">
      <c r="C8">
        <v>24</v>
      </c>
      <c r="D8">
        <v>7</v>
      </c>
      <c r="E8" t="s">
        <v>0</v>
      </c>
      <c r="F8">
        <f>24+7</f>
        <v>31</v>
      </c>
      <c r="J8">
        <v>89</v>
      </c>
      <c r="K8">
        <v>5</v>
      </c>
      <c r="L8" t="s">
        <v>0</v>
      </c>
      <c r="M8">
        <f>J8+K8</f>
        <v>94</v>
      </c>
    </row>
    <row r="9" spans="3:13" x14ac:dyDescent="0.3">
      <c r="C9">
        <v>55</v>
      </c>
      <c r="D9">
        <v>5</v>
      </c>
      <c r="E9" t="s">
        <v>1</v>
      </c>
      <c r="F9">
        <f>55-5</f>
        <v>50</v>
      </c>
      <c r="J9">
        <v>4</v>
      </c>
      <c r="K9">
        <v>2</v>
      </c>
      <c r="L9" t="s">
        <v>1</v>
      </c>
      <c r="M9">
        <f>J9-K9</f>
        <v>2</v>
      </c>
    </row>
    <row r="10" spans="3:13" x14ac:dyDescent="0.3">
      <c r="C10">
        <v>24</v>
      </c>
      <c r="D10">
        <v>78</v>
      </c>
      <c r="E10" t="s">
        <v>2</v>
      </c>
      <c r="F10">
        <f>24*78</f>
        <v>1872</v>
      </c>
      <c r="J10">
        <v>5</v>
      </c>
      <c r="K10">
        <v>55</v>
      </c>
      <c r="L10" t="s">
        <v>2</v>
      </c>
      <c r="M10">
        <f>J10*K10</f>
        <v>275</v>
      </c>
    </row>
    <row r="11" spans="3:13" x14ac:dyDescent="0.3">
      <c r="C11">
        <v>36</v>
      </c>
      <c r="D11">
        <v>4</v>
      </c>
      <c r="E11" t="s">
        <v>4</v>
      </c>
      <c r="F11">
        <f>36/4</f>
        <v>9</v>
      </c>
      <c r="J11">
        <v>35</v>
      </c>
      <c r="K11">
        <v>2</v>
      </c>
      <c r="L11" t="s">
        <v>4</v>
      </c>
      <c r="M11">
        <f>J11/K11</f>
        <v>17.5</v>
      </c>
    </row>
    <row r="12" spans="3:13" x14ac:dyDescent="0.3">
      <c r="C12">
        <v>21</v>
      </c>
      <c r="D12">
        <v>54</v>
      </c>
      <c r="E12" t="s">
        <v>3</v>
      </c>
      <c r="F12">
        <f>MOD(21,54)</f>
        <v>21</v>
      </c>
      <c r="J12">
        <v>2</v>
      </c>
      <c r="K12">
        <v>2</v>
      </c>
      <c r="L12" t="s">
        <v>3</v>
      </c>
      <c r="M12">
        <f>MOD(J12,K12)</f>
        <v>0</v>
      </c>
    </row>
    <row r="13" spans="3:13" x14ac:dyDescent="0.3">
      <c r="C13">
        <v>21</v>
      </c>
      <c r="D13">
        <v>12</v>
      </c>
      <c r="E13" t="s">
        <v>5</v>
      </c>
      <c r="F13">
        <f>(21+12)/2</f>
        <v>16.5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2155-8F7D-493B-8874-9E438239E653}">
  <dimension ref="F9:O15"/>
  <sheetViews>
    <sheetView workbookViewId="0">
      <selection activeCell="O15" sqref="O15"/>
    </sheetView>
  </sheetViews>
  <sheetFormatPr defaultRowHeight="14.4" x14ac:dyDescent="0.3"/>
  <sheetData>
    <row r="9" spans="6:15" x14ac:dyDescent="0.3">
      <c r="F9" t="s">
        <v>6</v>
      </c>
      <c r="G9" t="s">
        <v>7</v>
      </c>
      <c r="H9" t="s">
        <v>8</v>
      </c>
      <c r="I9" t="s">
        <v>9</v>
      </c>
      <c r="L9" t="s">
        <v>6</v>
      </c>
      <c r="M9" t="s">
        <v>7</v>
      </c>
      <c r="N9" t="s">
        <v>8</v>
      </c>
      <c r="O9" t="s">
        <v>9</v>
      </c>
    </row>
    <row r="10" spans="6:15" x14ac:dyDescent="0.3">
      <c r="F10">
        <v>10</v>
      </c>
      <c r="G10">
        <v>5</v>
      </c>
      <c r="H10" t="s">
        <v>0</v>
      </c>
      <c r="I10">
        <f>10+5</f>
        <v>15</v>
      </c>
      <c r="L10">
        <v>10</v>
      </c>
      <c r="M10">
        <v>8</v>
      </c>
      <c r="N10" t="s">
        <v>0</v>
      </c>
      <c r="O10">
        <f>L10+M10</f>
        <v>18</v>
      </c>
    </row>
    <row r="11" spans="6:15" x14ac:dyDescent="0.3">
      <c r="F11">
        <v>2</v>
      </c>
      <c r="G11">
        <v>1</v>
      </c>
      <c r="H11" t="s">
        <v>1</v>
      </c>
      <c r="I11">
        <f>2-1</f>
        <v>1</v>
      </c>
      <c r="L11">
        <v>11</v>
      </c>
      <c r="M11">
        <v>7</v>
      </c>
      <c r="N11" t="s">
        <v>1</v>
      </c>
      <c r="O11">
        <f>L11-M11</f>
        <v>4</v>
      </c>
    </row>
    <row r="12" spans="6:15" x14ac:dyDescent="0.3">
      <c r="F12">
        <v>10</v>
      </c>
      <c r="G12">
        <v>10</v>
      </c>
      <c r="H12" t="s">
        <v>2</v>
      </c>
      <c r="I12">
        <f>10*10</f>
        <v>100</v>
      </c>
      <c r="L12">
        <v>12</v>
      </c>
      <c r="M12">
        <v>4</v>
      </c>
      <c r="N12" t="s">
        <v>2</v>
      </c>
      <c r="O12">
        <f>L12*M12</f>
        <v>48</v>
      </c>
    </row>
    <row r="13" spans="6:15" x14ac:dyDescent="0.3">
      <c r="F13">
        <v>30</v>
      </c>
      <c r="G13">
        <v>1</v>
      </c>
      <c r="H13" t="s">
        <v>4</v>
      </c>
      <c r="I13">
        <f>30/1</f>
        <v>30</v>
      </c>
      <c r="L13">
        <v>13</v>
      </c>
      <c r="M13">
        <v>5</v>
      </c>
      <c r="N13" t="s">
        <v>4</v>
      </c>
      <c r="O13">
        <f>L13/M13</f>
        <v>2.6</v>
      </c>
    </row>
    <row r="14" spans="6:15" x14ac:dyDescent="0.3">
      <c r="F14">
        <v>5</v>
      </c>
      <c r="G14">
        <v>20</v>
      </c>
      <c r="H14" t="s">
        <v>3</v>
      </c>
      <c r="I14">
        <f>MOD(5,20)</f>
        <v>5</v>
      </c>
      <c r="L14">
        <v>14</v>
      </c>
      <c r="M14">
        <v>10</v>
      </c>
      <c r="N14" t="s">
        <v>3</v>
      </c>
      <c r="O14">
        <f>MOD(L14,M14)</f>
        <v>4</v>
      </c>
    </row>
    <row r="15" spans="6:15" x14ac:dyDescent="0.3">
      <c r="F15">
        <v>41</v>
      </c>
      <c r="G15">
        <v>1</v>
      </c>
      <c r="H15" t="s">
        <v>5</v>
      </c>
      <c r="I15">
        <f>(41+1)/2</f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A312-2D1C-4933-B231-CD0894E488B7}">
  <dimension ref="E10:N17"/>
  <sheetViews>
    <sheetView tabSelected="1" workbookViewId="0">
      <selection activeCell="S9" sqref="S9"/>
    </sheetView>
  </sheetViews>
  <sheetFormatPr defaultRowHeight="14.4" x14ac:dyDescent="0.3"/>
  <sheetData>
    <row r="10" spans="5:14" x14ac:dyDescent="0.3">
      <c r="K10" t="s">
        <v>6</v>
      </c>
      <c r="L10" t="s">
        <v>7</v>
      </c>
      <c r="M10" t="s">
        <v>8</v>
      </c>
      <c r="N10" t="s">
        <v>9</v>
      </c>
    </row>
    <row r="11" spans="5:14" x14ac:dyDescent="0.3">
      <c r="E11" t="s">
        <v>6</v>
      </c>
      <c r="F11" t="s">
        <v>7</v>
      </c>
      <c r="G11" t="s">
        <v>8</v>
      </c>
      <c r="H11" t="s">
        <v>9</v>
      </c>
      <c r="K11">
        <v>75</v>
      </c>
      <c r="L11">
        <v>7</v>
      </c>
      <c r="M11" t="s">
        <v>0</v>
      </c>
      <c r="N11">
        <f>K11+L11</f>
        <v>82</v>
      </c>
    </row>
    <row r="12" spans="5:14" x14ac:dyDescent="0.3">
      <c r="E12">
        <v>10</v>
      </c>
      <c r="F12">
        <v>2</v>
      </c>
      <c r="G12" t="s">
        <v>0</v>
      </c>
      <c r="H12">
        <f>10+2</f>
        <v>12</v>
      </c>
      <c r="K12">
        <v>48</v>
      </c>
      <c r="L12">
        <v>5</v>
      </c>
      <c r="M12" t="s">
        <v>1</v>
      </c>
      <c r="N12">
        <f>K12-L12</f>
        <v>43</v>
      </c>
    </row>
    <row r="13" spans="5:14" x14ac:dyDescent="0.3">
      <c r="E13">
        <v>12</v>
      </c>
      <c r="F13">
        <v>2</v>
      </c>
      <c r="G13" t="s">
        <v>1</v>
      </c>
      <c r="H13">
        <f>12-2</f>
        <v>10</v>
      </c>
      <c r="K13">
        <v>2</v>
      </c>
      <c r="L13">
        <v>1</v>
      </c>
      <c r="M13" t="s">
        <v>4</v>
      </c>
      <c r="N13">
        <f>K13/L13</f>
        <v>2</v>
      </c>
    </row>
    <row r="14" spans="5:14" x14ac:dyDescent="0.3">
      <c r="E14">
        <v>12</v>
      </c>
      <c r="F14">
        <v>4</v>
      </c>
      <c r="G14" t="s">
        <v>2</v>
      </c>
      <c r="H14">
        <f>12*4</f>
        <v>48</v>
      </c>
      <c r="K14">
        <v>2</v>
      </c>
      <c r="L14">
        <v>5</v>
      </c>
      <c r="M14" t="s">
        <v>2</v>
      </c>
      <c r="N14">
        <f>K14*L14</f>
        <v>10</v>
      </c>
    </row>
    <row r="15" spans="5:14" x14ac:dyDescent="0.3">
      <c r="E15">
        <v>14</v>
      </c>
      <c r="F15">
        <v>5</v>
      </c>
      <c r="G15" t="s">
        <v>4</v>
      </c>
      <c r="H15">
        <f>14/5</f>
        <v>2.8</v>
      </c>
      <c r="K15">
        <v>1</v>
      </c>
      <c r="L15">
        <v>11</v>
      </c>
      <c r="M15" t="s">
        <v>3</v>
      </c>
      <c r="N15">
        <f>MOD(K15,L15)</f>
        <v>1</v>
      </c>
    </row>
    <row r="16" spans="5:14" x14ac:dyDescent="0.3">
      <c r="E16">
        <v>15</v>
      </c>
      <c r="F16">
        <v>7</v>
      </c>
      <c r="G16" t="s">
        <v>3</v>
      </c>
      <c r="H16">
        <f>MOD(15,7)</f>
        <v>1</v>
      </c>
    </row>
    <row r="17" spans="5:8" x14ac:dyDescent="0.3">
      <c r="E17">
        <v>16</v>
      </c>
      <c r="F17">
        <v>4</v>
      </c>
      <c r="G17" t="s">
        <v>5</v>
      </c>
      <c r="H17">
        <f>(16+4)/2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hw1</vt:lpstr>
      <vt:lpstr>hw2</vt:lpstr>
      <vt:lpstr>hw3</vt:lpstr>
      <vt:lpstr>hw4</vt:lpstr>
      <vt:lpstr>hw5</vt:lpstr>
      <vt:lpstr>hw6</vt:lpstr>
      <vt:lpstr>hw7</vt:lpstr>
      <vt:lpstr>hw8</vt:lpstr>
      <vt:lpstr>hw9</vt:lpstr>
      <vt:lpstr>hw10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giripunje</cp:lastModifiedBy>
  <dcterms:created xsi:type="dcterms:W3CDTF">2015-06-05T18:17:20Z</dcterms:created>
  <dcterms:modified xsi:type="dcterms:W3CDTF">2025-03-30T17:21:11Z</dcterms:modified>
</cp:coreProperties>
</file>