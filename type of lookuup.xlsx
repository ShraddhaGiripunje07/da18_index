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A18\excel\"/>
    </mc:Choice>
  </mc:AlternateContent>
  <xr:revisionPtr revIDLastSave="0" documentId="13_ncr:1_{35ABB2A5-0FE6-448F-A360-3B7E8FDD620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vlookup" sheetId="4" r:id="rId2"/>
    <sheet name="Sheet3" sheetId="6" r:id="rId3"/>
    <sheet name="match" sheetId="7" r:id="rId4"/>
    <sheet name="INDEXMATCH" sheetId="8" r:id="rId5"/>
    <sheet name="hlookup" sheetId="5" r:id="rId6"/>
    <sheet name="DATEFUN" sheetId="3" r:id="rId7"/>
    <sheet name="SHEET2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8" l="1" a="1"/>
  <c r="G15" i="8" s="1"/>
  <c r="D16" i="8"/>
  <c r="E16" i="8"/>
  <c r="H18" i="7"/>
  <c r="E19" i="7"/>
  <c r="E18" i="7"/>
  <c r="E17" i="6" a="1"/>
  <c r="E17" i="6" s="1"/>
  <c r="D15" i="6"/>
  <c r="C9" i="5"/>
  <c r="D9" i="5"/>
  <c r="E9" i="5"/>
  <c r="F9" i="5"/>
  <c r="G9" i="5"/>
  <c r="B9" i="5"/>
  <c r="C6" i="5"/>
  <c r="D6" i="5"/>
  <c r="E6" i="5"/>
  <c r="F6" i="5"/>
  <c r="G6" i="5"/>
  <c r="B6" i="5"/>
  <c r="I8" i="4"/>
  <c r="I9" i="4"/>
  <c r="I10" i="4"/>
  <c r="I11" i="4"/>
  <c r="I7" i="4"/>
  <c r="G8" i="4"/>
  <c r="G9" i="4"/>
  <c r="G10" i="4"/>
  <c r="G11" i="4"/>
  <c r="G7" i="4"/>
  <c r="I37" i="3"/>
  <c r="J31" i="3"/>
  <c r="K30" i="3"/>
  <c r="J30" i="3"/>
  <c r="I40" i="3"/>
  <c r="I39" i="3"/>
  <c r="I32" i="3"/>
  <c r="I30" i="3"/>
  <c r="I12" i="3"/>
  <c r="I14" i="3" s="1"/>
  <c r="I19" i="3" s="1"/>
  <c r="I21" i="3" s="1"/>
  <c r="I8" i="3"/>
  <c r="I10" i="3" s="1"/>
  <c r="F28" i="1"/>
  <c r="F27" i="1"/>
  <c r="F26" i="1"/>
  <c r="F25" i="1"/>
  <c r="F22" i="1"/>
  <c r="G22" i="1"/>
  <c r="H22" i="1"/>
  <c r="I22" i="1"/>
  <c r="J22" i="1"/>
  <c r="K22" i="1"/>
  <c r="G20" i="1"/>
  <c r="H20" i="1"/>
  <c r="I20" i="1"/>
  <c r="J20" i="1"/>
  <c r="K20" i="1"/>
  <c r="F20" i="1"/>
  <c r="F19" i="1"/>
  <c r="F18" i="1"/>
  <c r="G17" i="1"/>
  <c r="H17" i="1"/>
  <c r="I17" i="1"/>
  <c r="J17" i="1"/>
  <c r="K17" i="1"/>
  <c r="F17" i="1"/>
  <c r="G16" i="1"/>
  <c r="H16" i="1"/>
  <c r="I16" i="1"/>
  <c r="J16" i="1"/>
  <c r="K16" i="1"/>
  <c r="F16" i="1"/>
  <c r="F13" i="1"/>
  <c r="M10" i="1"/>
  <c r="M9" i="1"/>
  <c r="M8" i="1"/>
  <c r="M7" i="1"/>
  <c r="M6" i="1"/>
  <c r="J12" i="2"/>
  <c r="K12" i="2"/>
  <c r="F12" i="2"/>
  <c r="G12" i="2"/>
  <c r="H12" i="2"/>
  <c r="I12" i="2"/>
  <c r="E12" i="2"/>
  <c r="I25" i="3" l="1"/>
  <c r="I24" i="3"/>
  <c r="I23" i="3"/>
  <c r="I1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<sst xmlns="http://schemas.openxmlformats.org/spreadsheetml/2006/main" count="163" uniqueCount="65">
  <si>
    <t>fruit of the day</t>
  </si>
  <si>
    <t>fruitname</t>
  </si>
  <si>
    <t>mango</t>
  </si>
  <si>
    <t>apple</t>
  </si>
  <si>
    <t>papaya</t>
  </si>
  <si>
    <t>info</t>
  </si>
  <si>
    <t>total</t>
  </si>
  <si>
    <t>price</t>
  </si>
  <si>
    <t>lit</t>
  </si>
  <si>
    <t>coverage (sq.ft)</t>
  </si>
  <si>
    <t>margin</t>
  </si>
  <si>
    <t>rating</t>
  </si>
  <si>
    <t>andcheck</t>
  </si>
  <si>
    <t>low</t>
  </si>
  <si>
    <t>mid</t>
  </si>
  <si>
    <t>high</t>
  </si>
  <si>
    <t>&lt;200</t>
  </si>
  <si>
    <t>&lt;250</t>
  </si>
  <si>
    <t>&gt;250</t>
  </si>
  <si>
    <t xml:space="preserve">spray </t>
  </si>
  <si>
    <t xml:space="preserve">oil </t>
  </si>
  <si>
    <t xml:space="preserve">plastic </t>
  </si>
  <si>
    <t xml:space="preserve">acrylic </t>
  </si>
  <si>
    <t xml:space="preserve">exterior </t>
  </si>
  <si>
    <t xml:space="preserve">deco </t>
  </si>
  <si>
    <t>equalcheck</t>
  </si>
  <si>
    <t>paintavgprice</t>
  </si>
  <si>
    <t>islower</t>
  </si>
  <si>
    <t>isgrater</t>
  </si>
  <si>
    <t>orcheck</t>
  </si>
  <si>
    <t>mhengaor sasta</t>
  </si>
  <si>
    <t>lowmidhigh</t>
  </si>
  <si>
    <t>if statement</t>
  </si>
  <si>
    <t>mhengahai</t>
  </si>
  <si>
    <t>sastahai</t>
  </si>
  <si>
    <t>sumif</t>
  </si>
  <si>
    <t>SUMIF</t>
  </si>
  <si>
    <t>OP</t>
  </si>
  <si>
    <t>TODAY</t>
  </si>
  <si>
    <t>FUN</t>
  </si>
  <si>
    <t>SUBSTRACTDATE</t>
  </si>
  <si>
    <t>NOW</t>
  </si>
  <si>
    <t xml:space="preserve">SUB </t>
  </si>
  <si>
    <t>SUB IN DECIMAL</t>
  </si>
  <si>
    <t>custom date</t>
  </si>
  <si>
    <t>month</t>
  </si>
  <si>
    <t>day</t>
  </si>
  <si>
    <t>year</t>
  </si>
  <si>
    <t xml:space="preserve">  </t>
  </si>
  <si>
    <t>date1</t>
  </si>
  <si>
    <t>date2</t>
  </si>
  <si>
    <t>days</t>
  </si>
  <si>
    <t>12 for</t>
  </si>
  <si>
    <t>datedif</t>
  </si>
  <si>
    <t>30for</t>
  </si>
  <si>
    <t>rowindex</t>
  </si>
  <si>
    <t>col index</t>
  </si>
  <si>
    <t>value</t>
  </si>
  <si>
    <t>index col</t>
  </si>
  <si>
    <t>VALUE</t>
  </si>
  <si>
    <t>INDEXROW</t>
  </si>
  <si>
    <t>COLHEADER</t>
  </si>
  <si>
    <t>ROWHEADER</t>
  </si>
  <si>
    <t>COLINDEX</t>
  </si>
  <si>
    <t>ROW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</si>
</sst>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 dd/mmmm/yyyy\ hh:mm:ss"/>
    <numFmt numFmtId="165" formatCode="&quot;month&quot;\=mmmm"/>
  </numFmts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M28"/>
  <sheetViews>
    <sheetView topLeftCell="D3" workbookViewId="0">
      <selection activeCell="N14" sqref="N14"/>
    </sheetView>
  </sheetViews>
  <sheetFormatPr defaultRowHeight="14.4" x14ac:dyDescent="0.3"/>
  <cols>
    <col min="5" max="5" width="13.77734375" bestFit="1" customWidth="1"/>
  </cols>
  <sheetData>
    <row r="5" spans="5:13" x14ac:dyDescent="0.3">
      <c r="E5" t="s">
        <v>5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6</v>
      </c>
      <c r="M5" t="s">
        <v>25</v>
      </c>
    </row>
    <row r="6" spans="5:13" x14ac:dyDescent="0.3">
      <c r="E6" t="s">
        <v>7</v>
      </c>
      <c r="F6">
        <v>271</v>
      </c>
      <c r="G6">
        <v>291</v>
      </c>
      <c r="H6">
        <v>238</v>
      </c>
      <c r="I6">
        <v>135</v>
      </c>
      <c r="J6">
        <v>235</v>
      </c>
      <c r="K6">
        <v>126</v>
      </c>
      <c r="L6">
        <v>1296</v>
      </c>
      <c r="M6" t="b">
        <f>L6=1296</f>
        <v>1</v>
      </c>
    </row>
    <row r="7" spans="5:13" x14ac:dyDescent="0.3">
      <c r="E7" t="s">
        <v>8</v>
      </c>
      <c r="F7">
        <v>5</v>
      </c>
      <c r="G7">
        <v>3</v>
      </c>
      <c r="H7">
        <v>1</v>
      </c>
      <c r="I7">
        <v>1</v>
      </c>
      <c r="J7">
        <v>4</v>
      </c>
      <c r="K7">
        <v>4</v>
      </c>
      <c r="L7">
        <v>18</v>
      </c>
      <c r="M7" t="b">
        <f>L7=66</f>
        <v>0</v>
      </c>
    </row>
    <row r="8" spans="5:13" x14ac:dyDescent="0.3">
      <c r="E8" t="s">
        <v>9</v>
      </c>
      <c r="F8">
        <v>20</v>
      </c>
      <c r="G8">
        <v>15</v>
      </c>
      <c r="H8">
        <v>29</v>
      </c>
      <c r="I8">
        <v>41</v>
      </c>
      <c r="J8">
        <v>41</v>
      </c>
      <c r="K8">
        <v>46</v>
      </c>
      <c r="L8">
        <v>192</v>
      </c>
      <c r="M8" t="b">
        <f>L8=32</f>
        <v>0</v>
      </c>
    </row>
    <row r="9" spans="5:13" x14ac:dyDescent="0.3">
      <c r="E9" t="s">
        <v>10</v>
      </c>
      <c r="F9">
        <v>13.55</v>
      </c>
      <c r="G9">
        <v>14.55</v>
      </c>
      <c r="H9">
        <v>11.9</v>
      </c>
      <c r="I9">
        <v>6.75</v>
      </c>
      <c r="J9">
        <v>11.75</v>
      </c>
      <c r="K9">
        <v>6.3000000000000007</v>
      </c>
      <c r="L9">
        <v>64.8</v>
      </c>
      <c r="M9" t="b">
        <f>L9=64</f>
        <v>0</v>
      </c>
    </row>
    <row r="10" spans="5:13" x14ac:dyDescent="0.3">
      <c r="E10" t="s">
        <v>11</v>
      </c>
      <c r="F10">
        <v>1</v>
      </c>
      <c r="G10">
        <v>2</v>
      </c>
      <c r="H10">
        <v>1</v>
      </c>
      <c r="I10">
        <v>4</v>
      </c>
      <c r="J10">
        <v>1</v>
      </c>
      <c r="K10">
        <v>1</v>
      </c>
      <c r="L10">
        <v>10</v>
      </c>
      <c r="M10" t="b">
        <f>L10=10</f>
        <v>1</v>
      </c>
    </row>
    <row r="13" spans="5:13" x14ac:dyDescent="0.3">
      <c r="E13" t="s">
        <v>26</v>
      </c>
      <c r="F13">
        <f>AVERAGE(F6:K6)</f>
        <v>216</v>
      </c>
    </row>
    <row r="15" spans="5:13" x14ac:dyDescent="0.3"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</row>
    <row r="16" spans="5:13" x14ac:dyDescent="0.3">
      <c r="E16" t="s">
        <v>28</v>
      </c>
      <c r="F16" t="b">
        <f>$F13&lt;F6</f>
        <v>1</v>
      </c>
      <c r="G16" t="b">
        <f t="shared" ref="G16:K16" si="0">$F13&lt;G6</f>
        <v>1</v>
      </c>
      <c r="H16" t="b">
        <f t="shared" si="0"/>
        <v>1</v>
      </c>
      <c r="I16" t="b">
        <f t="shared" si="0"/>
        <v>0</v>
      </c>
      <c r="J16" t="b">
        <f t="shared" si="0"/>
        <v>1</v>
      </c>
      <c r="K16" t="b">
        <f t="shared" si="0"/>
        <v>0</v>
      </c>
    </row>
    <row r="17" spans="2:11" x14ac:dyDescent="0.3">
      <c r="E17" t="s">
        <v>27</v>
      </c>
      <c r="F17" t="b">
        <f>F6&lt;$F13</f>
        <v>0</v>
      </c>
      <c r="G17" t="b">
        <f t="shared" ref="G17:K17" si="1">G6&lt;$F13</f>
        <v>0</v>
      </c>
      <c r="H17" t="b">
        <f t="shared" si="1"/>
        <v>0</v>
      </c>
      <c r="I17" t="b">
        <f t="shared" si="1"/>
        <v>1</v>
      </c>
      <c r="J17" t="b">
        <f t="shared" si="1"/>
        <v>0</v>
      </c>
      <c r="K17" t="b">
        <f t="shared" si="1"/>
        <v>1</v>
      </c>
    </row>
    <row r="18" spans="2:11" x14ac:dyDescent="0.3">
      <c r="E18" t="s">
        <v>29</v>
      </c>
      <c r="F18" t="b">
        <f>OR(F6&gt;F13,G6&gt;F13,H6&gt;F13,I6&gt;F13,J6&gt;F13,K6&gt;F13)</f>
        <v>1</v>
      </c>
    </row>
    <row r="19" spans="2:11" x14ac:dyDescent="0.3">
      <c r="E19" t="s">
        <v>12</v>
      </c>
      <c r="F19" t="b">
        <f>AND(F6&gt;F13,G6&gt;F13,H6&gt;F13,I6&gt;F13,J6&gt;F13,K6&gt;F13)</f>
        <v>0</v>
      </c>
    </row>
    <row r="20" spans="2:11" x14ac:dyDescent="0.3">
      <c r="E20" t="s">
        <v>30</v>
      </c>
      <c r="F20" t="str">
        <f>IF(F6&gt;$F13,"mhengahai","sastahai")</f>
        <v>mhengahai</v>
      </c>
      <c r="G20" t="str">
        <f t="shared" ref="G20:K20" si="2">IF(G6&gt;$F13,"mhengahai","sastahai")</f>
        <v>mhengahai</v>
      </c>
      <c r="H20" t="str">
        <f t="shared" si="2"/>
        <v>mhengahai</v>
      </c>
      <c r="I20" t="str">
        <f t="shared" si="2"/>
        <v>sastahai</v>
      </c>
      <c r="J20" t="str">
        <f t="shared" si="2"/>
        <v>mhengahai</v>
      </c>
      <c r="K20" t="str">
        <f t="shared" si="2"/>
        <v>sastahai</v>
      </c>
    </row>
    <row r="21" spans="2:11" x14ac:dyDescent="0.3">
      <c r="B21" t="s">
        <v>32</v>
      </c>
    </row>
    <row r="22" spans="2:11" x14ac:dyDescent="0.3">
      <c r="B22" t="s">
        <v>13</v>
      </c>
      <c r="C22" t="s">
        <v>14</v>
      </c>
      <c r="D22" t="s">
        <v>15</v>
      </c>
      <c r="E22" t="s">
        <v>31</v>
      </c>
      <c r="F22" t="str">
        <f>IF(F6&gt;250,"high",IF(F6&gt;200,"mid","low"))</f>
        <v>high</v>
      </c>
      <c r="G22" t="str">
        <f t="shared" ref="G22:K22" si="3">IF(G6&gt;250,"high",IF(G6&gt;200,"mid","low"))</f>
        <v>high</v>
      </c>
      <c r="H22" t="str">
        <f t="shared" si="3"/>
        <v>mid</v>
      </c>
      <c r="I22" t="str">
        <f t="shared" si="3"/>
        <v>low</v>
      </c>
      <c r="J22" t="str">
        <f t="shared" si="3"/>
        <v>mid</v>
      </c>
      <c r="K22" t="str">
        <f t="shared" si="3"/>
        <v>low</v>
      </c>
    </row>
    <row r="23" spans="2:11" x14ac:dyDescent="0.3">
      <c r="B23" t="s">
        <v>16</v>
      </c>
      <c r="C23" t="s">
        <v>17</v>
      </c>
      <c r="D23" t="s">
        <v>18</v>
      </c>
    </row>
    <row r="25" spans="2:11" x14ac:dyDescent="0.3">
      <c r="E25" t="s">
        <v>33</v>
      </c>
      <c r="F25">
        <f>COUNTIF(F20:K20,E25)</f>
        <v>4</v>
      </c>
    </row>
    <row r="26" spans="2:11" x14ac:dyDescent="0.3">
      <c r="E26" t="s">
        <v>34</v>
      </c>
      <c r="F26">
        <f>COUNTIF(F20:K20,E26)</f>
        <v>2</v>
      </c>
    </row>
    <row r="27" spans="2:11" x14ac:dyDescent="0.3">
      <c r="E27" t="s">
        <v>35</v>
      </c>
      <c r="F27">
        <f>SUMIF(F20:K20,E25,F6:K6)</f>
        <v>1035</v>
      </c>
    </row>
    <row r="28" spans="2:11" x14ac:dyDescent="0.3">
      <c r="E28" t="s">
        <v>36</v>
      </c>
      <c r="F28">
        <f>SUMIF(F20:K20,E26,F9:K9)</f>
        <v>13.05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EF91-7A2A-4124-BEEE-596BED561D50}">
  <dimension ref="B6:J20"/>
  <sheetViews>
    <sheetView topLeftCell="B4" workbookViewId="0">
      <selection activeCell="C28" sqref="C28"/>
    </sheetView>
  </sheetViews>
  <sheetFormatPr defaultRowHeight="14.4" x14ac:dyDescent="0.3"/>
  <cols>
    <col min="2" max="3" width="13.77734375" bestFit="1" customWidth="1"/>
    <col min="6" max="6" width="6.6640625" bestFit="1" customWidth="1"/>
  </cols>
  <sheetData>
    <row r="6" spans="2:10" x14ac:dyDescent="0.3">
      <c r="C6" s="5" t="s">
        <v>5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23</v>
      </c>
      <c r="I6" s="5" t="s">
        <v>24</v>
      </c>
      <c r="J6" s="5" t="s">
        <v>6</v>
      </c>
    </row>
    <row r="7" spans="2:10" x14ac:dyDescent="0.3">
      <c r="C7" s="6" t="s">
        <v>7</v>
      </c>
      <c r="D7" s="7">
        <v>271</v>
      </c>
      <c r="E7" s="7">
        <v>291</v>
      </c>
      <c r="F7" s="7">
        <v>238</v>
      </c>
      <c r="G7" s="7">
        <f>VLOOKUP(C7,$B$15:$D$20,2,FALSE)</f>
        <v>135</v>
      </c>
      <c r="H7" s="7">
        <v>235</v>
      </c>
      <c r="I7" s="7">
        <f>VLOOKUP(C7,$B$15:$D$20,3,FALSE)</f>
        <v>126</v>
      </c>
      <c r="J7" s="7">
        <v>1296</v>
      </c>
    </row>
    <row r="8" spans="2:10" x14ac:dyDescent="0.3">
      <c r="C8" s="6" t="s">
        <v>8</v>
      </c>
      <c r="D8" s="7">
        <v>5</v>
      </c>
      <c r="E8" s="7">
        <v>3</v>
      </c>
      <c r="F8" s="7">
        <v>1</v>
      </c>
      <c r="G8" s="7">
        <f t="shared" ref="G8:G11" si="0">VLOOKUP(C8,$B$15:$D$20,2,FALSE)</f>
        <v>1</v>
      </c>
      <c r="H8" s="7">
        <v>4</v>
      </c>
      <c r="I8" s="7">
        <f t="shared" ref="I8:I11" si="1">VLOOKUP(C8,$B$15:$D$20,3,FALSE)</f>
        <v>4</v>
      </c>
      <c r="J8" s="7">
        <v>18</v>
      </c>
    </row>
    <row r="9" spans="2:10" x14ac:dyDescent="0.3">
      <c r="C9" s="6" t="s">
        <v>9</v>
      </c>
      <c r="D9" s="7">
        <v>20</v>
      </c>
      <c r="E9" s="7">
        <v>15</v>
      </c>
      <c r="F9" s="7">
        <v>29</v>
      </c>
      <c r="G9" s="7">
        <f t="shared" si="0"/>
        <v>41</v>
      </c>
      <c r="H9" s="7">
        <v>41</v>
      </c>
      <c r="I9" s="7">
        <f t="shared" si="1"/>
        <v>46</v>
      </c>
      <c r="J9" s="7">
        <v>192</v>
      </c>
    </row>
    <row r="10" spans="2:10" x14ac:dyDescent="0.3">
      <c r="C10" s="6" t="s">
        <v>10</v>
      </c>
      <c r="D10" s="7">
        <v>13.55</v>
      </c>
      <c r="E10" s="7">
        <v>14.55</v>
      </c>
      <c r="F10" s="7">
        <v>11.9</v>
      </c>
      <c r="G10" s="7">
        <f t="shared" si="0"/>
        <v>6.75</v>
      </c>
      <c r="H10" s="7">
        <v>11.75</v>
      </c>
      <c r="I10" s="7">
        <f t="shared" si="1"/>
        <v>6.3000000000000007</v>
      </c>
      <c r="J10" s="7">
        <v>64.8</v>
      </c>
    </row>
    <row r="11" spans="2:10" x14ac:dyDescent="0.3">
      <c r="C11" s="6" t="s">
        <v>11</v>
      </c>
      <c r="D11" s="7">
        <v>1</v>
      </c>
      <c r="E11" s="7">
        <v>2</v>
      </c>
      <c r="F11" s="7">
        <v>1</v>
      </c>
      <c r="G11" s="7">
        <f t="shared" si="0"/>
        <v>4</v>
      </c>
      <c r="H11" s="7">
        <v>1</v>
      </c>
      <c r="I11" s="7">
        <f t="shared" si="1"/>
        <v>1</v>
      </c>
      <c r="J11" s="7">
        <v>10</v>
      </c>
    </row>
    <row r="15" spans="2:10" x14ac:dyDescent="0.3">
      <c r="B15" s="5" t="s">
        <v>5</v>
      </c>
      <c r="C15" s="5" t="s">
        <v>22</v>
      </c>
      <c r="D15" s="5" t="s">
        <v>24</v>
      </c>
    </row>
    <row r="16" spans="2:10" x14ac:dyDescent="0.3">
      <c r="B16" s="6" t="s">
        <v>7</v>
      </c>
      <c r="C16" s="7">
        <v>135</v>
      </c>
      <c r="D16" s="7">
        <v>126</v>
      </c>
    </row>
    <row r="17" spans="2:4" x14ac:dyDescent="0.3">
      <c r="B17" s="6" t="s">
        <v>11</v>
      </c>
      <c r="C17" s="7">
        <v>4</v>
      </c>
      <c r="D17" s="7">
        <v>1</v>
      </c>
    </row>
    <row r="18" spans="2:4" x14ac:dyDescent="0.3">
      <c r="B18" s="6" t="s">
        <v>8</v>
      </c>
      <c r="C18" s="7">
        <v>1</v>
      </c>
      <c r="D18" s="7">
        <v>4</v>
      </c>
    </row>
    <row r="19" spans="2:4" x14ac:dyDescent="0.3">
      <c r="B19" s="6" t="s">
        <v>10</v>
      </c>
      <c r="C19" s="7">
        <v>6.75</v>
      </c>
      <c r="D19" s="7">
        <v>6.3000000000000007</v>
      </c>
    </row>
    <row r="20" spans="2:4" x14ac:dyDescent="0.3">
      <c r="B20" s="6" t="s">
        <v>9</v>
      </c>
      <c r="C20" s="7">
        <v>41</v>
      </c>
      <c r="D20" s="7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733A-1E74-4F3B-94D9-897AC44D1D42}">
  <dimension ref="C6:I17"/>
  <sheetViews>
    <sheetView workbookViewId="0">
      <selection activeCell="B22" sqref="B22"/>
    </sheetView>
  </sheetViews>
  <sheetFormatPr defaultRowHeight="14.4" x14ac:dyDescent="0.3"/>
  <sheetData>
    <row r="6" spans="3:9" x14ac:dyDescent="0.3">
      <c r="D6">
        <v>1</v>
      </c>
      <c r="E6">
        <v>2</v>
      </c>
      <c r="F6">
        <v>3</v>
      </c>
      <c r="G6">
        <v>4</v>
      </c>
      <c r="H6">
        <v>5</v>
      </c>
      <c r="I6">
        <v>6</v>
      </c>
    </row>
    <row r="7" spans="3:9" x14ac:dyDescent="0.3">
      <c r="C7" s="10" t="s">
        <v>5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  <c r="I7" s="10" t="s">
        <v>24</v>
      </c>
    </row>
    <row r="8" spans="3:9" x14ac:dyDescent="0.3">
      <c r="C8" s="11" t="s">
        <v>7</v>
      </c>
      <c r="D8" s="12">
        <v>271</v>
      </c>
      <c r="E8" s="12">
        <v>291</v>
      </c>
      <c r="F8" s="12">
        <v>238</v>
      </c>
      <c r="G8" s="12">
        <v>135</v>
      </c>
      <c r="H8" s="12">
        <v>235</v>
      </c>
      <c r="I8" s="12">
        <v>126</v>
      </c>
    </row>
    <row r="9" spans="3:9" x14ac:dyDescent="0.3">
      <c r="C9" s="11" t="s">
        <v>8</v>
      </c>
      <c r="D9" s="12">
        <v>5</v>
      </c>
      <c r="E9" s="12">
        <v>3</v>
      </c>
      <c r="F9" s="12">
        <v>1</v>
      </c>
      <c r="G9" s="12">
        <v>1</v>
      </c>
      <c r="H9" s="12">
        <v>4</v>
      </c>
      <c r="I9" s="12">
        <v>4</v>
      </c>
    </row>
    <row r="10" spans="3:9" x14ac:dyDescent="0.3">
      <c r="C10" s="11" t="s">
        <v>9</v>
      </c>
      <c r="D10" s="12">
        <v>20</v>
      </c>
      <c r="E10" s="12">
        <v>15</v>
      </c>
      <c r="F10" s="12">
        <v>29</v>
      </c>
      <c r="G10" s="12">
        <v>41</v>
      </c>
      <c r="H10" s="12">
        <v>41</v>
      </c>
      <c r="I10" s="12">
        <v>46</v>
      </c>
    </row>
    <row r="11" spans="3:9" x14ac:dyDescent="0.3">
      <c r="C11" s="11" t="s">
        <v>10</v>
      </c>
      <c r="D11" s="12">
        <v>13.55</v>
      </c>
      <c r="E11" s="12">
        <v>14.55</v>
      </c>
      <c r="F11" s="12">
        <v>11.9</v>
      </c>
      <c r="G11" s="12">
        <v>6.75</v>
      </c>
      <c r="H11" s="12">
        <v>11.75</v>
      </c>
      <c r="I11" s="12">
        <v>6.3000000000000007</v>
      </c>
    </row>
    <row r="12" spans="3:9" x14ac:dyDescent="0.3">
      <c r="C12" s="11" t="s">
        <v>11</v>
      </c>
      <c r="D12" s="12">
        <v>1</v>
      </c>
      <c r="E12" s="12">
        <v>2</v>
      </c>
      <c r="F12" s="12">
        <v>1</v>
      </c>
      <c r="G12" s="12">
        <v>4</v>
      </c>
      <c r="H12" s="12">
        <v>1</v>
      </c>
      <c r="I12" s="12">
        <v>1</v>
      </c>
    </row>
    <row r="14" spans="3:9" x14ac:dyDescent="0.3">
      <c r="F14" t="s">
        <v>55</v>
      </c>
      <c r="G14" t="s">
        <v>56</v>
      </c>
    </row>
    <row r="15" spans="3:9" x14ac:dyDescent="0.3">
      <c r="D15">
        <f>INDEX(C7:I12,3,5)</f>
        <v>1</v>
      </c>
      <c r="F15">
        <v>1</v>
      </c>
      <c r="G15">
        <v>6</v>
      </c>
    </row>
    <row r="17" spans="4:5" x14ac:dyDescent="0.3">
      <c r="D17" t="s">
        <v>57</v>
      </c>
      <c r="E17" t="str" cm="1">
        <f t="array" ref="E17">INDEX(C7:I12,F15,G15)</f>
        <v xml:space="preserve">exterior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914B-C9A0-4923-B046-A56F60D61B07}">
  <dimension ref="C6:I19"/>
  <sheetViews>
    <sheetView workbookViewId="0">
      <selection activeCell="B25" sqref="B25"/>
    </sheetView>
  </sheetViews>
  <sheetFormatPr defaultRowHeight="14.4" x14ac:dyDescent="0.3"/>
  <cols>
    <col min="3" max="3" width="13.77734375" bestFit="1" customWidth="1"/>
  </cols>
  <sheetData>
    <row r="6" spans="3:9" x14ac:dyDescent="0.3">
      <c r="D6">
        <v>1</v>
      </c>
      <c r="E6">
        <v>2</v>
      </c>
      <c r="F6">
        <v>3</v>
      </c>
      <c r="G6">
        <v>4</v>
      </c>
      <c r="H6">
        <v>5</v>
      </c>
      <c r="I6">
        <v>6</v>
      </c>
    </row>
    <row r="7" spans="3:9" x14ac:dyDescent="0.3">
      <c r="C7" s="10" t="s">
        <v>5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  <c r="I7" s="10" t="s">
        <v>24</v>
      </c>
    </row>
    <row r="8" spans="3:9" x14ac:dyDescent="0.3">
      <c r="C8" s="11" t="s">
        <v>7</v>
      </c>
      <c r="D8" s="12">
        <v>271</v>
      </c>
      <c r="E8" s="12">
        <v>291</v>
      </c>
      <c r="F8" s="12">
        <v>238</v>
      </c>
      <c r="G8" s="12">
        <v>135</v>
      </c>
      <c r="H8" s="12">
        <v>235</v>
      </c>
      <c r="I8" s="12">
        <v>126</v>
      </c>
    </row>
    <row r="9" spans="3:9" x14ac:dyDescent="0.3">
      <c r="C9" s="11" t="s">
        <v>8</v>
      </c>
      <c r="D9" s="12">
        <v>5</v>
      </c>
      <c r="E9" s="12">
        <v>3</v>
      </c>
      <c r="F9" s="12">
        <v>1</v>
      </c>
      <c r="G9" s="12">
        <v>1</v>
      </c>
      <c r="H9" s="12">
        <v>4</v>
      </c>
      <c r="I9" s="12">
        <v>4</v>
      </c>
    </row>
    <row r="10" spans="3:9" x14ac:dyDescent="0.3">
      <c r="C10" s="11" t="s">
        <v>9</v>
      </c>
      <c r="D10" s="12">
        <v>20</v>
      </c>
      <c r="E10" s="12">
        <v>15</v>
      </c>
      <c r="F10" s="12">
        <v>29</v>
      </c>
      <c r="G10" s="12">
        <v>41</v>
      </c>
      <c r="H10" s="12">
        <v>41</v>
      </c>
      <c r="I10" s="12">
        <v>46</v>
      </c>
    </row>
    <row r="11" spans="3:9" x14ac:dyDescent="0.3">
      <c r="C11" s="11" t="s">
        <v>10</v>
      </c>
      <c r="D11" s="12">
        <v>13.55</v>
      </c>
      <c r="E11" s="12">
        <v>14.55</v>
      </c>
      <c r="F11" s="12">
        <v>11.9</v>
      </c>
      <c r="G11" s="12">
        <v>6.75</v>
      </c>
      <c r="H11" s="12">
        <v>11.75</v>
      </c>
      <c r="I11" s="12">
        <v>6.3000000000000007</v>
      </c>
    </row>
    <row r="12" spans="3:9" x14ac:dyDescent="0.3">
      <c r="C12" s="11" t="s">
        <v>11</v>
      </c>
      <c r="D12" s="12">
        <v>1</v>
      </c>
      <c r="E12" s="12">
        <v>2</v>
      </c>
      <c r="F12" s="12">
        <v>1</v>
      </c>
      <c r="G12" s="12">
        <v>4</v>
      </c>
      <c r="H12" s="12">
        <v>1</v>
      </c>
      <c r="I12" s="12">
        <v>1</v>
      </c>
    </row>
    <row r="17" spans="4:8" x14ac:dyDescent="0.3">
      <c r="D17" t="s">
        <v>57</v>
      </c>
      <c r="E17" t="s">
        <v>58</v>
      </c>
      <c r="G17" t="s">
        <v>59</v>
      </c>
      <c r="H17" t="s">
        <v>60</v>
      </c>
    </row>
    <row r="18" spans="4:8" x14ac:dyDescent="0.3">
      <c r="D18" s="10" t="s">
        <v>20</v>
      </c>
      <c r="E18">
        <f>MATCH(D18,C7:I7,0)</f>
        <v>3</v>
      </c>
      <c r="G18" s="11" t="s">
        <v>8</v>
      </c>
      <c r="H18">
        <f>MATCH(G18,C8:C12,0)</f>
        <v>2</v>
      </c>
    </row>
    <row r="19" spans="4:8" x14ac:dyDescent="0.3">
      <c r="D19" s="12">
        <v>235</v>
      </c>
      <c r="E19">
        <f>MATCH(D19,D8:I8,0)</f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40A5-B159-403F-93BE-C125610425C9}">
  <dimension ref="A1:G16"/>
  <sheetViews>
    <sheetView tabSelected="1" workbookViewId="0">
      <selection activeCell="G16" sqref="G16"/>
    </sheetView>
  </sheetViews>
  <sheetFormatPr defaultRowHeight="14.4" x14ac:dyDescent="0.3"/>
  <cols>
    <col min="1" max="2" width="13.77734375" bestFit="1" customWidth="1"/>
  </cols>
  <sheetData>
    <row r="1" spans="1:7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">
      <c r="A2" s="10" t="s">
        <v>5</v>
      </c>
      <c r="B2" s="10" t="s">
        <v>19</v>
      </c>
      <c r="C2" s="10" t="s">
        <v>20</v>
      </c>
      <c r="D2" s="10" t="s">
        <v>21</v>
      </c>
      <c r="E2" s="10" t="s">
        <v>22</v>
      </c>
      <c r="F2" s="10" t="s">
        <v>23</v>
      </c>
      <c r="G2" s="10" t="s">
        <v>24</v>
      </c>
    </row>
    <row r="3" spans="1:7" x14ac:dyDescent="0.3">
      <c r="A3" s="11" t="s">
        <v>7</v>
      </c>
      <c r="B3" s="12">
        <v>271</v>
      </c>
      <c r="C3" s="12">
        <v>291</v>
      </c>
      <c r="D3" s="12">
        <v>238</v>
      </c>
      <c r="E3" s="12">
        <v>135</v>
      </c>
      <c r="F3" s="12">
        <v>235</v>
      </c>
      <c r="G3" s="12">
        <v>126</v>
      </c>
    </row>
    <row r="4" spans="1:7" x14ac:dyDescent="0.3">
      <c r="A4" s="11" t="s">
        <v>8</v>
      </c>
      <c r="B4" s="12">
        <v>5</v>
      </c>
      <c r="C4" s="12">
        <v>3</v>
      </c>
      <c r="D4" s="12">
        <v>1</v>
      </c>
      <c r="E4" s="12">
        <v>1</v>
      </c>
      <c r="F4" s="12">
        <v>4</v>
      </c>
      <c r="G4" s="12">
        <v>4</v>
      </c>
    </row>
    <row r="5" spans="1:7" x14ac:dyDescent="0.3">
      <c r="A5" s="11" t="s">
        <v>9</v>
      </c>
      <c r="B5" s="12">
        <v>20</v>
      </c>
      <c r="C5" s="12">
        <v>15</v>
      </c>
      <c r="D5" s="12">
        <v>29</v>
      </c>
      <c r="E5" s="12">
        <v>41</v>
      </c>
      <c r="F5" s="12">
        <v>41</v>
      </c>
      <c r="G5" s="12">
        <v>46</v>
      </c>
    </row>
    <row r="6" spans="1:7" x14ac:dyDescent="0.3">
      <c r="A6" s="11" t="s">
        <v>10</v>
      </c>
      <c r="B6" s="12">
        <v>13.55</v>
      </c>
      <c r="C6" s="12">
        <v>14.55</v>
      </c>
      <c r="D6" s="12">
        <v>11.9</v>
      </c>
      <c r="E6" s="12">
        <v>6.75</v>
      </c>
      <c r="F6" s="12">
        <v>11.75</v>
      </c>
      <c r="G6" s="12">
        <v>6.3000000000000007</v>
      </c>
    </row>
    <row r="7" spans="1:7" x14ac:dyDescent="0.3">
      <c r="A7" s="11" t="s">
        <v>11</v>
      </c>
      <c r="B7" s="12">
        <v>1</v>
      </c>
      <c r="C7" s="12">
        <v>2</v>
      </c>
      <c r="D7" s="12">
        <v>1</v>
      </c>
      <c r="E7" s="12">
        <v>4</v>
      </c>
      <c r="F7" s="12">
        <v>1</v>
      </c>
      <c r="G7" s="12">
        <v>1</v>
      </c>
    </row>
    <row r="15" spans="1:7" x14ac:dyDescent="0.3">
      <c r="A15" t="s">
        <v>61</v>
      </c>
      <c r="B15" s="10" t="s">
        <v>24</v>
      </c>
      <c r="D15" t="s">
        <v>63</v>
      </c>
      <c r="E15" t="s">
        <v>64</v>
      </c>
      <c r="G15" cm="1">
        <f t="array" ref="G15">INDEX(A2:G7,E16,D16)</f>
        <v>46</v>
      </c>
    </row>
    <row r="16" spans="1:7" x14ac:dyDescent="0.3">
      <c r="A16" t="s">
        <v>62</v>
      </c>
      <c r="B16" s="11" t="s">
        <v>9</v>
      </c>
      <c r="D16">
        <f>MATCH(B15,A2:G2,0)</f>
        <v>7</v>
      </c>
      <c r="E16">
        <f>MATCH(B16,A2:A7,0)</f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8E28-AB0D-420C-B788-501104B44C6C}">
  <dimension ref="A5:H17"/>
  <sheetViews>
    <sheetView workbookViewId="0">
      <selection activeCell="I18" sqref="I18"/>
    </sheetView>
  </sheetViews>
  <sheetFormatPr defaultRowHeight="14.4" x14ac:dyDescent="0.3"/>
  <cols>
    <col min="1" max="1" width="13.77734375" bestFit="1" customWidth="1"/>
  </cols>
  <sheetData>
    <row r="5" spans="1:8" x14ac:dyDescent="0.3">
      <c r="A5" s="9" t="s">
        <v>5</v>
      </c>
      <c r="B5" s="9" t="s">
        <v>19</v>
      </c>
      <c r="C5" s="6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 s="6" t="s">
        <v>6</v>
      </c>
    </row>
    <row r="6" spans="1:8" x14ac:dyDescent="0.3">
      <c r="A6" s="8" t="s">
        <v>7</v>
      </c>
      <c r="B6">
        <f>HLOOKUP(B5,$A$15:$G$17,2,FALSE)</f>
        <v>271</v>
      </c>
      <c r="C6">
        <f t="shared" ref="C6:G6" si="0">HLOOKUP(C5,$A$15:$G$17,2,FALSE)</f>
        <v>291</v>
      </c>
      <c r="D6">
        <f t="shared" si="0"/>
        <v>238</v>
      </c>
      <c r="E6">
        <f t="shared" si="0"/>
        <v>135</v>
      </c>
      <c r="F6">
        <f t="shared" si="0"/>
        <v>235</v>
      </c>
      <c r="G6">
        <f t="shared" si="0"/>
        <v>126</v>
      </c>
      <c r="H6" s="7"/>
    </row>
    <row r="7" spans="1:8" x14ac:dyDescent="0.3">
      <c r="A7" s="8" t="s">
        <v>8</v>
      </c>
      <c r="B7" s="7">
        <v>5</v>
      </c>
      <c r="C7" s="7">
        <v>3</v>
      </c>
      <c r="D7" s="7">
        <v>1</v>
      </c>
      <c r="E7" s="7">
        <v>1</v>
      </c>
      <c r="F7" s="7">
        <v>4</v>
      </c>
      <c r="G7" s="7">
        <v>4</v>
      </c>
      <c r="H7" s="7">
        <v>18</v>
      </c>
    </row>
    <row r="8" spans="1:8" x14ac:dyDescent="0.3">
      <c r="A8" s="8" t="s">
        <v>9</v>
      </c>
      <c r="B8" s="7">
        <v>20</v>
      </c>
      <c r="C8" s="7">
        <v>15</v>
      </c>
      <c r="D8" s="7">
        <v>29</v>
      </c>
      <c r="E8" s="7">
        <v>41</v>
      </c>
      <c r="F8" s="7">
        <v>41</v>
      </c>
      <c r="G8" s="7">
        <v>46</v>
      </c>
      <c r="H8" s="7">
        <v>192</v>
      </c>
    </row>
    <row r="9" spans="1:8" x14ac:dyDescent="0.3">
      <c r="A9" s="8" t="s">
        <v>10</v>
      </c>
      <c r="B9">
        <f>HLOOKUP(B5,$A$15:$G$17,3,FALSE)</f>
        <v>13.55</v>
      </c>
      <c r="C9">
        <f t="shared" ref="C9:G9" si="1">HLOOKUP(C5,$A$15:$G$17,3,FALSE)</f>
        <v>14.55</v>
      </c>
      <c r="D9">
        <f t="shared" si="1"/>
        <v>11.9</v>
      </c>
      <c r="E9">
        <f t="shared" si="1"/>
        <v>6.75</v>
      </c>
      <c r="F9">
        <f t="shared" si="1"/>
        <v>11.75</v>
      </c>
      <c r="G9">
        <f t="shared" si="1"/>
        <v>6.3000000000000007</v>
      </c>
    </row>
    <row r="10" spans="1:8" x14ac:dyDescent="0.3">
      <c r="A10" s="8" t="s">
        <v>11</v>
      </c>
      <c r="B10" s="7">
        <v>1</v>
      </c>
      <c r="C10" s="7">
        <v>2</v>
      </c>
      <c r="D10" s="7">
        <v>1</v>
      </c>
      <c r="E10" s="7">
        <v>4</v>
      </c>
      <c r="F10" s="7">
        <v>1</v>
      </c>
      <c r="G10" s="7">
        <v>1</v>
      </c>
      <c r="H10" s="7">
        <v>10</v>
      </c>
    </row>
    <row r="15" spans="1:8" x14ac:dyDescent="0.3">
      <c r="A15" s="9" t="s">
        <v>5</v>
      </c>
      <c r="B15" s="9" t="s">
        <v>19</v>
      </c>
      <c r="C15" s="6" t="s">
        <v>20</v>
      </c>
      <c r="D15" s="6" t="s">
        <v>21</v>
      </c>
      <c r="E15" s="6" t="s">
        <v>22</v>
      </c>
      <c r="F15" s="6" t="s">
        <v>23</v>
      </c>
      <c r="G15" s="6" t="s">
        <v>24</v>
      </c>
    </row>
    <row r="16" spans="1:8" x14ac:dyDescent="0.3">
      <c r="A16" s="8" t="s">
        <v>7</v>
      </c>
      <c r="B16" s="7">
        <v>271</v>
      </c>
      <c r="C16" s="7">
        <v>291</v>
      </c>
      <c r="D16" s="7">
        <v>238</v>
      </c>
      <c r="E16" s="7">
        <v>135</v>
      </c>
      <c r="F16" s="7">
        <v>235</v>
      </c>
      <c r="G16" s="7">
        <v>126</v>
      </c>
    </row>
    <row r="17" spans="1:7" x14ac:dyDescent="0.3">
      <c r="A17" s="8" t="s">
        <v>10</v>
      </c>
      <c r="B17" s="7">
        <v>13.55</v>
      </c>
      <c r="C17" s="7">
        <v>14.55</v>
      </c>
      <c r="D17" s="7">
        <v>11.9</v>
      </c>
      <c r="E17" s="7">
        <v>6.75</v>
      </c>
      <c r="F17" s="7">
        <v>11.75</v>
      </c>
      <c r="G17" s="7">
        <v>6.3000000000000007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7C33-CAFD-4E75-800E-B669604EC819}">
  <dimension ref="B7:K40"/>
  <sheetViews>
    <sheetView topLeftCell="A15" zoomScale="77" workbookViewId="0">
      <selection activeCell="I38" sqref="I38"/>
    </sheetView>
  </sheetViews>
  <sheetFormatPr defaultRowHeight="14.4" x14ac:dyDescent="0.3"/>
  <cols>
    <col min="2" max="3" width="10.88671875" bestFit="1" customWidth="1"/>
    <col min="7" max="7" width="15" bestFit="1" customWidth="1"/>
    <col min="9" max="9" width="31.5546875" bestFit="1" customWidth="1"/>
  </cols>
  <sheetData>
    <row r="7" spans="7:9" x14ac:dyDescent="0.3">
      <c r="G7" t="s">
        <v>39</v>
      </c>
      <c r="I7" t="s">
        <v>37</v>
      </c>
    </row>
    <row r="8" spans="7:9" x14ac:dyDescent="0.3">
      <c r="G8" t="s">
        <v>38</v>
      </c>
      <c r="I8" s="1">
        <f ca="1">TODAY()</f>
        <v>45755</v>
      </c>
    </row>
    <row r="10" spans="7:9" x14ac:dyDescent="0.3">
      <c r="G10" t="s">
        <v>40</v>
      </c>
      <c r="I10" s="1">
        <f ca="1">I8-2</f>
        <v>45753</v>
      </c>
    </row>
    <row r="12" spans="7:9" x14ac:dyDescent="0.3">
      <c r="G12" t="s">
        <v>41</v>
      </c>
      <c r="I12" s="2">
        <f ca="1">NOW()</f>
        <v>45755.8499443287</v>
      </c>
    </row>
    <row r="14" spans="7:9" x14ac:dyDescent="0.3">
      <c r="G14" t="s">
        <v>42</v>
      </c>
      <c r="I14" s="2">
        <f ca="1">I12-10</f>
        <v>45745.8499443287</v>
      </c>
    </row>
    <row r="16" spans="7:9" x14ac:dyDescent="0.3">
      <c r="G16" t="s">
        <v>43</v>
      </c>
      <c r="I16" s="2">
        <f ca="1">I12-2.3</f>
        <v>45753.549944328697</v>
      </c>
    </row>
    <row r="19" spans="2:11" x14ac:dyDescent="0.3">
      <c r="G19" t="s">
        <v>44</v>
      </c>
      <c r="I19" s="3">
        <f ca="1">I14</f>
        <v>45745.8499443287</v>
      </c>
    </row>
    <row r="21" spans="2:11" x14ac:dyDescent="0.3">
      <c r="G21" t="s">
        <v>45</v>
      </c>
      <c r="I21" s="4">
        <f ca="1">I19</f>
        <v>45745.8499443287</v>
      </c>
    </row>
    <row r="23" spans="2:11" x14ac:dyDescent="0.3">
      <c r="G23" t="s">
        <v>46</v>
      </c>
      <c r="I23">
        <f ca="1">DAY(I19)</f>
        <v>29</v>
      </c>
    </row>
    <row r="24" spans="2:11" x14ac:dyDescent="0.3">
      <c r="G24" t="s">
        <v>45</v>
      </c>
      <c r="I24">
        <f ca="1">MONTH(I19)</f>
        <v>3</v>
      </c>
    </row>
    <row r="25" spans="2:11" x14ac:dyDescent="0.3">
      <c r="G25" t="s">
        <v>47</v>
      </c>
      <c r="I25">
        <f ca="1">YEAR(I19)</f>
        <v>2025</v>
      </c>
    </row>
    <row r="28" spans="2:11" x14ac:dyDescent="0.3">
      <c r="B28" t="s">
        <v>49</v>
      </c>
      <c r="C28" t="s">
        <v>50</v>
      </c>
      <c r="D28" t="s">
        <v>48</v>
      </c>
    </row>
    <row r="29" spans="2:11" x14ac:dyDescent="0.3">
      <c r="J29" t="s">
        <v>54</v>
      </c>
      <c r="K29" t="s">
        <v>52</v>
      </c>
    </row>
    <row r="30" spans="2:11" x14ac:dyDescent="0.3">
      <c r="B30" s="1">
        <v>45651</v>
      </c>
      <c r="C30" s="1">
        <v>38688</v>
      </c>
      <c r="G30" t="s">
        <v>51</v>
      </c>
      <c r="I30">
        <f>_xlfn.DAYS(B30,C30)</f>
        <v>6963</v>
      </c>
      <c r="J30">
        <f>I30/30</f>
        <v>232.1</v>
      </c>
      <c r="K30">
        <f>I30/30</f>
        <v>232.1</v>
      </c>
    </row>
    <row r="31" spans="2:11" x14ac:dyDescent="0.3">
      <c r="J31">
        <f>J30/12</f>
        <v>19.341666666666665</v>
      </c>
    </row>
    <row r="32" spans="2:11" x14ac:dyDescent="0.3">
      <c r="I32">
        <f>B30-C30</f>
        <v>6963</v>
      </c>
    </row>
    <row r="37" spans="4:9" x14ac:dyDescent="0.3">
      <c r="D37" t="s">
        <v>53</v>
      </c>
      <c r="E37" t="s">
        <v>47</v>
      </c>
      <c r="I37">
        <f>DATEDIF(C30,B30,"y")</f>
        <v>19</v>
      </c>
    </row>
    <row r="39" spans="4:9" x14ac:dyDescent="0.3">
      <c r="E39" t="s">
        <v>45</v>
      </c>
      <c r="I39">
        <f>DATEDIF(C30,B30,"m")</f>
        <v>228</v>
      </c>
    </row>
    <row r="40" spans="4:9" x14ac:dyDescent="0.3">
      <c r="E40" t="s">
        <v>46</v>
      </c>
      <c r="I40">
        <f>DATEDIF(C30,B30,"d")</f>
        <v>6963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319C-DC23-405D-B27A-6426767D372D}">
  <dimension ref="C9:K12"/>
  <sheetViews>
    <sheetView topLeftCell="A4" zoomScale="75" workbookViewId="0">
      <selection activeCell="I19" sqref="I19"/>
    </sheetView>
  </sheetViews>
  <sheetFormatPr defaultRowHeight="14.4" x14ac:dyDescent="0.3"/>
  <cols>
    <col min="3" max="3" width="13.21875" bestFit="1" customWidth="1"/>
    <col min="5" max="5" width="16.77734375" bestFit="1" customWidth="1"/>
    <col min="6" max="6" width="15.6640625" bestFit="1" customWidth="1"/>
    <col min="7" max="7" width="17.21875" bestFit="1" customWidth="1"/>
    <col min="8" max="8" width="16.77734375" bestFit="1" customWidth="1"/>
    <col min="9" max="9" width="15.6640625" bestFit="1" customWidth="1"/>
    <col min="10" max="10" width="16.77734375" bestFit="1" customWidth="1"/>
    <col min="11" max="11" width="17.44140625" bestFit="1" customWidth="1"/>
  </cols>
  <sheetData>
    <row r="9" spans="3:11" x14ac:dyDescent="0.3">
      <c r="C9" t="s">
        <v>0</v>
      </c>
      <c r="E9">
        <v>1</v>
      </c>
      <c r="F9">
        <v>2</v>
      </c>
      <c r="G9">
        <v>3</v>
      </c>
      <c r="H9">
        <v>4</v>
      </c>
      <c r="I9">
        <v>5</v>
      </c>
      <c r="J9">
        <v>6</v>
      </c>
      <c r="K9">
        <v>7</v>
      </c>
    </row>
    <row r="10" spans="3:11" x14ac:dyDescent="0.3">
      <c r="D10" t="s">
        <v>1</v>
      </c>
      <c r="E10" t="s">
        <v>2</v>
      </c>
      <c r="F10" t="s">
        <v>3</v>
      </c>
      <c r="G10" t="s">
        <v>4</v>
      </c>
      <c r="H10" t="s">
        <v>2</v>
      </c>
      <c r="I10" t="s">
        <v>3</v>
      </c>
      <c r="J10" t="s">
        <v>2</v>
      </c>
      <c r="K10" t="s">
        <v>4</v>
      </c>
    </row>
    <row r="12" spans="3:11" x14ac:dyDescent="0.3">
      <c r="E12" t="str">
        <f>IF(E10="mango","today is mango day",IF(E10="apple","today is apple day","today is papaya day"))</f>
        <v>today is mango day</v>
      </c>
      <c r="F12" t="str">
        <f t="shared" ref="F12:K12" si="0">IF(F10="mango","today is mango day",IF(F10="apple","today is apple day","today is papaya day"))</f>
        <v>today is apple day</v>
      </c>
      <c r="G12" t="str">
        <f t="shared" si="0"/>
        <v>today is papaya day</v>
      </c>
      <c r="H12" t="str">
        <f t="shared" si="0"/>
        <v>today is mango day</v>
      </c>
      <c r="I12" t="str">
        <f t="shared" si="0"/>
        <v>today is apple day</v>
      </c>
      <c r="J12" t="str">
        <f>IF(J10="mango","today is mango day",IF(J10="apple","today is apple day","today is papaya day"))</f>
        <v>today is mango day</v>
      </c>
      <c r="K12" t="str">
        <f t="shared" si="0"/>
        <v>today is papaya day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vlookup</vt:lpstr>
      <vt:lpstr>Sheet3</vt:lpstr>
      <vt:lpstr>match</vt:lpstr>
      <vt:lpstr>INDEXMATCH</vt:lpstr>
      <vt:lpstr>hlookup</vt:lpstr>
      <vt:lpstr>DATEFUN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shraddha giripunje</cp:lastModifiedBy>
  <dcterms:created xsi:type="dcterms:W3CDTF">2015-06-05T18:17:20Z</dcterms:created>
  <dcterms:modified xsi:type="dcterms:W3CDTF">2025-04-08T14:54:01Z</dcterms:modified>
</cp:coreProperties>
</file>